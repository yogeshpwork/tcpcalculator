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eere-my.sharepoint.com/personal/parikyogesh_johndeere_com/Documents/Desktop/TCP calc/"/>
    </mc:Choice>
  </mc:AlternateContent>
  <xr:revisionPtr revIDLastSave="2" documentId="13_ncr:1_{427CF8F4-D8BC-4E7A-BC56-A4D71C37E47F}" xr6:coauthVersionLast="47" xr6:coauthVersionMax="47" xr10:uidLastSave="{142C2A87-572A-4523-9483-25904E334C7E}"/>
  <bookViews>
    <workbookView xWindow="-49485" yWindow="2310" windowWidth="19185" windowHeight="11280" firstSheet="3" activeTab="3" xr2:uid="{0427C624-AD57-42C4-BFA0-FF09BBFE5455}"/>
  </bookViews>
  <sheets>
    <sheet name="Format 1" sheetId="12" state="hidden" r:id="rId1"/>
    <sheet name="Demo " sheetId="14" state="hidden" r:id="rId2"/>
    <sheet name="Format 2" sheetId="13" state="hidden" r:id="rId3"/>
    <sheet name="Sheet1" sheetId="16" r:id="rId4"/>
  </sheets>
  <definedNames>
    <definedName name="CalendarYear">#REF!</definedName>
    <definedName name="ColumnTitleRegion1..H12.1">#REF!</definedName>
    <definedName name="ColumnTitleRegion1..H12.10">#REF!</definedName>
    <definedName name="ColumnTitleRegion1..H12.11">#REF!</definedName>
    <definedName name="ColumnTitleRegion1..H12.12">#REF!</definedName>
    <definedName name="ColumnTitleRegion1..H12.2">#REF!</definedName>
    <definedName name="ColumnTitleRegion1..H12.3">#REF!</definedName>
    <definedName name="ColumnTitleRegion1..H12.4">#REF!</definedName>
    <definedName name="ColumnTitleRegion1..H12.5">#REF!</definedName>
    <definedName name="ColumnTitleRegion1..H12.6">#REF!</definedName>
    <definedName name="ColumnTitleRegion1..H12.7">#REF!</definedName>
    <definedName name="ColumnTitleRegion1..H12.8">#REF!</definedName>
    <definedName name="ColumnTitleRegion1..H12.9">#REF!</definedName>
    <definedName name="ColumnTitleRegion2..C14.1">#REF!</definedName>
    <definedName name="ColumnTitleRegion2..C14.10">#REF!</definedName>
    <definedName name="ColumnTitleRegion2..C14.11">#REF!</definedName>
    <definedName name="ColumnTitleRegion2..C14.12">#REF!</definedName>
    <definedName name="ColumnTitleRegion2..C14.2">#REF!</definedName>
    <definedName name="ColumnTitleRegion2..C14.3">#REF!</definedName>
    <definedName name="ColumnTitleRegion2..C14.4">#REF!</definedName>
    <definedName name="ColumnTitleRegion2..C14.5">#REF!</definedName>
    <definedName name="ColumnTitleRegion2..C14.6">#REF!</definedName>
    <definedName name="ColumnTitleRegion2..C14.7">#REF!</definedName>
    <definedName name="ColumnTitleRegion2..C14.8">#REF!</definedName>
    <definedName name="ColumnTitleRegion2..C14.9">#REF!</definedName>
    <definedName name="DaysAndWeeks" localSheetId="1">{0,1,2,3,4,5,6} + {0;1;2;3;4;5}*7</definedName>
    <definedName name="DaysAndWeeks" localSheetId="3">{0,1,2,3,4,5,6} + {0;1;2;3;4;5}*7</definedName>
    <definedName name="DaysAndWeeks">{0,1,2,3,4,5,6} + {0;1;2;3;4;5}*7</definedName>
    <definedName name="June_sales">#REF!</definedName>
    <definedName name="WeekStar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16" l="1"/>
  <c r="L25" i="16"/>
  <c r="L23" i="16"/>
  <c r="G22" i="16" a="1"/>
  <c r="G22" i="16" s="1"/>
  <c r="D24" i="16"/>
  <c r="F24" i="16"/>
  <c r="J24" i="16"/>
  <c r="K24" i="16" s="1"/>
  <c r="H26" i="16"/>
  <c r="I26" i="16"/>
  <c r="B37" i="14"/>
  <c r="F26" i="14"/>
  <c r="I28" i="14"/>
  <c r="H28" i="14"/>
  <c r="J26" i="14"/>
  <c r="K26" i="14" s="1"/>
  <c r="D26" i="14"/>
  <c r="G24" i="14" a="1"/>
  <c r="G24" i="14" s="1"/>
  <c r="D26" i="12"/>
  <c r="B35" i="16" l="1"/>
  <c r="I7" i="13"/>
  <c r="H7" i="13"/>
  <c r="I28" i="12"/>
  <c r="H28" i="12"/>
  <c r="G3" i="13" a="1"/>
  <c r="G3" i="13" s="1"/>
  <c r="I24" i="13" l="1"/>
  <c r="B37" i="12"/>
  <c r="J5" i="13" l="1"/>
  <c r="K5" i="13" s="1"/>
  <c r="F5" i="13"/>
  <c r="D5" i="13"/>
  <c r="J26" i="12"/>
  <c r="F26" i="12"/>
  <c r="K26" i="12" l="1"/>
  <c r="G24" i="12" a="1"/>
  <c r="G24"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<sst xmlns="http://schemas.openxmlformats.org/spreadsheetml/2006/main" count="128" uniqueCount="49">
  <si>
    <t>Basic Requirements</t>
  </si>
  <si>
    <t>**The account has been open for at least 9 months.</t>
  </si>
  <si>
    <t xml:space="preserve">**The account has not been re-aged (or had a TCP/PCP) more than once in a 12-month period or twice in a 5-year period. </t>
  </si>
  <si>
    <t>**Merchant Authorized accounts require Supervisor/Team Lead/Manager approval.</t>
  </si>
  <si>
    <t>**Multi-Use accounts with Special Terms do not qualify.</t>
  </si>
  <si>
    <t>**PowerPlan Balance Forward accounts with Even Payment Plans (EPPs) do not qualify.</t>
  </si>
  <si>
    <t xml:space="preserve">**PowerPlan OIB accounts do not qualify. </t>
  </si>
  <si>
    <t xml:space="preserve">**Government accounts that have invoices due in full after 60 days do not qualify. If you feel a re-age, TCP, or PCP  should be considered for an account that does not meet the above criteria due to extenuating and drastic circumstances. </t>
  </si>
  <si>
    <t xml:space="preserve">**Please review the account with a supervisor before discussing re-age options with the customer. </t>
  </si>
  <si>
    <r>
      <t>Educate Customer on the following</t>
    </r>
    <r>
      <rPr>
        <sz val="8"/>
        <color rgb="FF000000"/>
        <rFont val="Verdana"/>
        <family val="2"/>
      </rPr>
      <t xml:space="preserve"> </t>
    </r>
  </si>
  <si>
    <t>*Confirm customer commitment and ability to make agreed payment for the TCP over the agreed time period.</t>
  </si>
  <si>
    <t xml:space="preserve">*For low-rate or 0% programs with fixed payment,  advise the customer on the expiration date or dates for change in interest </t>
  </si>
  <si>
    <t>Advise customer that TCPs can only be done once every 12 months or twice within a 5 year period.</t>
  </si>
  <si>
    <t>*Advise customer that the account will be restricted while payments are reduced and if they do not make agreed payments, the deal is off and the payment will return to normal and late fees will assess.</t>
  </si>
  <si>
    <t xml:space="preserve">*Advise customer of which months payments will be reduced and which month the payment will return to normal and confirming that they will be able to make the normal payments going forward from that time </t>
  </si>
  <si>
    <t>Please make sure minimum TCP pmt should cover at least highest interest charge over last three months.</t>
  </si>
  <si>
    <t xml:space="preserve">Current  balance </t>
  </si>
  <si>
    <t xml:space="preserve">Highest FC assessed  last 3 months </t>
  </si>
  <si>
    <t>Negotiation Range  (**negotiation starting point 1/2 of regular payment amount**)</t>
  </si>
  <si>
    <t>Agreed pmt/TCP pmt</t>
  </si>
  <si>
    <t>Qualifying pmt [3 times tcp]</t>
  </si>
  <si>
    <t>Qualifying payment 1</t>
  </si>
  <si>
    <t>Qualifying payment 2</t>
  </si>
  <si>
    <t>Qualifying payment 3</t>
  </si>
  <si>
    <t xml:space="preserve"> Total Qualifying pmts</t>
  </si>
  <si>
    <t xml:space="preserve"> Remaining Required pmt ( 3 times TCP amount  )</t>
  </si>
  <si>
    <t>Q pmt date:</t>
  </si>
  <si>
    <t>Reduced pmt due</t>
  </si>
  <si>
    <t>Norm pmt Resume</t>
  </si>
  <si>
    <t>Promo expire date(s)</t>
  </si>
  <si>
    <t xml:space="preserve">Template paste it in notepad and edit as needed </t>
  </si>
  <si>
    <t xml:space="preserve">If you feel a re-age, TCP, or PCP  should be considered for an account that does not meet the above criteria due to extenuating and drastic circumstances. </t>
  </si>
  <si>
    <t xml:space="preserve">**Government accounts that have invoices due in full after 60 days do not qualify. </t>
  </si>
  <si>
    <t>*Advise customer that TCPs can only be done once every 12 months or twice within a 5 year period.</t>
  </si>
  <si>
    <t>Please make sure minimum TCP pmt should cover at least highest interest charge and last three months.</t>
  </si>
  <si>
    <r>
      <rPr>
        <sz val="9"/>
        <rFont val="Verdana"/>
        <family val="2"/>
      </rPr>
      <t>Normal Pmt</t>
    </r>
    <r>
      <rPr>
        <sz val="7"/>
        <rFont val="Verdana"/>
        <family val="2"/>
      </rPr>
      <t xml:space="preserve"> </t>
    </r>
  </si>
  <si>
    <t>Acceptable Range</t>
  </si>
  <si>
    <t xml:space="preserve">Red- additional funds needed </t>
  </si>
  <si>
    <t>Green- No funds needed</t>
  </si>
  <si>
    <t>00/00/0000</t>
  </si>
  <si>
    <t xml:space="preserve">Negotiation Range </t>
  </si>
  <si>
    <t>Q pmt 1</t>
  </si>
  <si>
    <t xml:space="preserve">Q pmt 2 </t>
  </si>
  <si>
    <t>Q pmt 3</t>
  </si>
  <si>
    <t>2/2/2026</t>
  </si>
  <si>
    <t>1/20/2026</t>
  </si>
  <si>
    <t>12/25/2025</t>
  </si>
  <si>
    <t xml:space="preserve">**If you feel a re-age, TCP, or PCP should be considered for an account that does not meet the above criteria due to extenuating and drastic circumstances Please review the account with a supervisor before discussing re-age options with the customer. </t>
  </si>
  <si>
    <r>
      <t>Educate Customer on the following</t>
    </r>
    <r>
      <rPr>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</si>
</sst>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3" x14ac:knownFonts="1">
    <font>
      <sz val="11"/>
      <color theme="1"/>
      <name val="Aptos Narrow"/>
      <family val="2"/>
      <scheme val="minor"/>
    </font>
    <font>
      <sz val="11"/>
      <color theme="1"/>
      <name val="Aptos Narrow"/>
      <family val="2"/>
      <scheme val="minor"/>
    </font>
    <font>
      <sz val="11"/>
      <color theme="1"/>
      <name val="Verdana"/>
      <family val="2"/>
    </font>
    <font>
      <sz val="11"/>
      <name val="Verdana"/>
      <family val="2"/>
    </font>
    <font>
      <b/>
      <sz val="11"/>
      <name val="Verdana"/>
      <family val="2"/>
    </font>
    <font>
      <sz val="9"/>
      <color theme="1"/>
      <name val="Verdana"/>
      <family val="2"/>
    </font>
    <font>
      <sz val="9"/>
      <name val="Verdana"/>
      <family val="2"/>
    </font>
    <font>
      <b/>
      <sz val="9"/>
      <name val="Verdana"/>
      <family val="2"/>
    </font>
    <font>
      <b/>
      <sz val="11"/>
      <color theme="1"/>
      <name val="Aptos Narrow"/>
      <family val="2"/>
      <scheme val="minor"/>
    </font>
    <font>
      <sz val="10"/>
      <name val="Verdana"/>
      <family val="2"/>
    </font>
    <font>
      <sz val="10"/>
      <color theme="1"/>
      <name val="Aptos Narrow"/>
      <family val="2"/>
      <scheme val="minor"/>
    </font>
    <font>
      <sz val="10"/>
      <color theme="1"/>
      <name val="Verdana"/>
      <family val="2"/>
    </font>
    <font>
      <sz val="10"/>
      <color theme="1" tint="0.34998626667073579"/>
      <name val="Verdana"/>
      <family val="2"/>
    </font>
    <font>
      <sz val="10"/>
      <color theme="1" tint="0.34998626667073579"/>
      <name val="Aptos Narrow"/>
      <family val="2"/>
      <scheme val="minor"/>
    </font>
    <font>
      <b/>
      <sz val="12"/>
      <color theme="5" tint="-0.249977111117893"/>
      <name val="Aptos Narrow"/>
      <family val="2"/>
      <scheme val="minor"/>
    </font>
    <font>
      <b/>
      <sz val="8"/>
      <color rgb="FF000000"/>
      <name val="Verdana"/>
      <family val="2"/>
    </font>
    <font>
      <sz val="8"/>
      <color rgb="FF000000"/>
      <name val="Verdana"/>
      <family val="2"/>
    </font>
    <font>
      <sz val="8"/>
      <color theme="1"/>
      <name val="Verdana"/>
      <family val="2"/>
    </font>
    <font>
      <sz val="7"/>
      <name val="Verdana"/>
      <family val="2"/>
    </font>
    <font>
      <sz val="9"/>
      <color theme="0"/>
      <name val="Verdana"/>
      <family val="2"/>
    </font>
    <font>
      <sz val="11"/>
      <color theme="0"/>
      <name val="Aptos Narrow"/>
      <family val="2"/>
      <scheme val="minor"/>
    </font>
    <font>
      <b/>
      <sz val="11"/>
      <color rgb="FF000000"/>
      <name val="Verdana"/>
      <family val="2"/>
    </font>
    <font>
      <sz val="11"/>
      <color rgb="FF000000"/>
      <name val="Verdana"/>
      <family val="2"/>
    </font>
  </fonts>
  <fills count="6">
    <fill>
      <patternFill patternType="none"/>
    </fill>
    <fill>
      <patternFill patternType="gray125"/>
    </fill>
    <fill>
      <patternFill patternType="solid">
        <fgColor theme="0"/>
        <bgColor indexed="64"/>
      </patternFill>
    </fill>
    <fill>
      <patternFill patternType="solid">
        <fgColor theme="4" tint="0.39997558519241921"/>
        <bgColor indexed="65"/>
      </patternFill>
    </fill>
    <fill>
      <patternFill patternType="solid">
        <fgColor rgb="FF86B080"/>
        <bgColor indexed="64"/>
      </patternFill>
    </fill>
    <fill>
      <patternFill patternType="solid">
        <fgColor rgb="FFFFEC45"/>
        <bgColor indexed="64"/>
      </patternFill>
    </fill>
  </fills>
  <borders count="41">
    <border>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style="medium">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theme="5"/>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3" borderId="0" applyNumberFormat="0" applyBorder="0" applyAlignment="0" applyProtection="0"/>
  </cellStyleXfs>
  <cellXfs count="174">
    <xf numFmtId="0" fontId="0" fillId="0" borderId="0" xfId="0"/>
    <xf numFmtId="0" fontId="0" fillId="0" borderId="0" xfId="0" applyProtection="1">
      <protection locked="0"/>
    </xf>
    <xf numFmtId="0" fontId="0" fillId="0" borderId="0" xfId="0" applyAlignment="1" applyProtection="1">
      <alignment horizontal="center" vertical="center"/>
      <protection locked="0"/>
    </xf>
    <xf numFmtId="0" fontId="0" fillId="0" borderId="0" xfId="0" applyAlignment="1" applyProtection="1">
      <alignment wrapText="1"/>
      <protection locked="0"/>
    </xf>
    <xf numFmtId="0" fontId="2" fillId="0" borderId="8" xfId="0" applyFont="1" applyBorder="1" applyAlignment="1" applyProtection="1">
      <alignment wrapText="1"/>
      <protection locked="0"/>
    </xf>
    <xf numFmtId="14" fontId="3" fillId="4" borderId="16" xfId="0" applyNumberFormat="1" applyFont="1" applyFill="1" applyBorder="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2" fillId="2" borderId="3" xfId="0" applyFont="1" applyFill="1" applyBorder="1" applyAlignment="1" applyProtection="1">
      <alignment wrapText="1"/>
      <protection locked="0"/>
    </xf>
    <xf numFmtId="0" fontId="2" fillId="2" borderId="1" xfId="0" applyFont="1" applyFill="1" applyBorder="1" applyAlignment="1" applyProtection="1">
      <alignment wrapText="1"/>
      <protection locked="0"/>
    </xf>
    <xf numFmtId="0" fontId="2" fillId="2" borderId="11" xfId="0" applyFont="1" applyFill="1" applyBorder="1" applyAlignment="1" applyProtection="1">
      <alignment wrapText="1"/>
      <protection locked="0"/>
    </xf>
    <xf numFmtId="0" fontId="2" fillId="2" borderId="7" xfId="0" applyFont="1" applyFill="1" applyBorder="1" applyAlignment="1" applyProtection="1">
      <alignment wrapText="1"/>
      <protection locked="0"/>
    </xf>
    <xf numFmtId="0" fontId="2" fillId="2" borderId="8" xfId="0" applyFont="1" applyFill="1" applyBorder="1" applyAlignment="1" applyProtection="1">
      <alignment wrapText="1"/>
      <protection locked="0"/>
    </xf>
    <xf numFmtId="0" fontId="2" fillId="2" borderId="10" xfId="0" applyFont="1" applyFill="1" applyBorder="1" applyAlignment="1" applyProtection="1">
      <alignment wrapText="1"/>
      <protection locked="0"/>
    </xf>
    <xf numFmtId="2" fontId="3" fillId="4" borderId="11" xfId="0" applyNumberFormat="1" applyFont="1" applyFill="1" applyBorder="1" applyAlignment="1" applyProtection="1">
      <alignment horizontal="center" vertical="center"/>
      <protection locked="0"/>
    </xf>
    <xf numFmtId="164" fontId="3" fillId="4" borderId="12" xfId="0" applyNumberFormat="1" applyFont="1" applyFill="1" applyBorder="1" applyAlignment="1" applyProtection="1">
      <alignment horizontal="center" vertical="center"/>
      <protection locked="0"/>
    </xf>
    <xf numFmtId="2" fontId="3" fillId="4" borderId="6" xfId="0" applyNumberFormat="1" applyFont="1" applyFill="1" applyBorder="1" applyAlignment="1" applyProtection="1">
      <alignment horizontal="center" vertical="center"/>
      <protection locked="0"/>
    </xf>
    <xf numFmtId="164" fontId="3" fillId="4" borderId="14" xfId="0" applyNumberFormat="1" applyFont="1" applyFill="1" applyBorder="1" applyAlignment="1" applyProtection="1">
      <alignment horizontal="center" vertical="center"/>
      <protection locked="0"/>
    </xf>
    <xf numFmtId="2" fontId="3" fillId="4" borderId="16" xfId="0" applyNumberFormat="1" applyFont="1" applyFill="1" applyBorder="1" applyAlignment="1" applyProtection="1">
      <alignment horizontal="center" vertical="center"/>
      <protection locked="0"/>
    </xf>
    <xf numFmtId="14" fontId="3" fillId="4" borderId="7" xfId="0" applyNumberFormat="1" applyFont="1" applyFill="1" applyBorder="1" applyAlignment="1" applyProtection="1">
      <alignment horizontal="center" vertical="center"/>
      <protection locked="0"/>
    </xf>
    <xf numFmtId="14" fontId="3" fillId="4" borderId="8" xfId="0" applyNumberFormat="1" applyFont="1" applyFill="1" applyBorder="1" applyAlignment="1" applyProtection="1">
      <alignment horizontal="center" vertical="center"/>
      <protection locked="0"/>
    </xf>
    <xf numFmtId="0" fontId="5" fillId="2" borderId="11" xfId="1" applyFont="1" applyFill="1" applyBorder="1" applyAlignment="1" applyProtection="1">
      <alignment horizontal="center" vertical="center" wrapText="1"/>
      <protection locked="0"/>
    </xf>
    <xf numFmtId="0" fontId="5" fillId="2" borderId="10" xfId="1" applyFont="1" applyFill="1" applyBorder="1" applyAlignment="1" applyProtection="1">
      <alignment horizontal="center" vertical="center" wrapText="1"/>
      <protection locked="0"/>
    </xf>
    <xf numFmtId="0" fontId="5" fillId="0" borderId="0" xfId="0" applyFont="1" applyAlignment="1" applyProtection="1">
      <alignment wrapText="1"/>
      <protection locked="0"/>
    </xf>
    <xf numFmtId="0" fontId="5" fillId="2" borderId="13" xfId="1" applyFont="1" applyFill="1" applyBorder="1" applyAlignment="1" applyProtection="1">
      <alignment horizontal="center" vertical="center" wrapText="1"/>
      <protection locked="0"/>
    </xf>
    <xf numFmtId="0" fontId="0" fillId="2" borderId="0" xfId="0" applyFill="1" applyProtection="1">
      <protection locked="0"/>
    </xf>
    <xf numFmtId="0" fontId="0" fillId="2" borderId="0" xfId="0" applyFill="1" applyAlignment="1" applyProtection="1">
      <alignment horizontal="center" vertical="center"/>
      <protection locked="0"/>
    </xf>
    <xf numFmtId="0" fontId="0" fillId="0" borderId="0" xfId="0" applyAlignment="1" applyProtection="1">
      <alignment horizontal="center" vertical="top" wrapText="1"/>
      <protection locked="0"/>
    </xf>
    <xf numFmtId="0" fontId="0" fillId="0" borderId="0" xfId="0" applyAlignment="1" applyProtection="1">
      <alignment vertical="top" wrapText="1"/>
      <protection locked="0"/>
    </xf>
    <xf numFmtId="0" fontId="6" fillId="0" borderId="7" xfId="0" applyFont="1" applyBorder="1" applyAlignment="1" applyProtection="1">
      <alignment horizontal="center" vertical="center" wrapText="1"/>
      <protection locked="0"/>
    </xf>
    <xf numFmtId="0" fontId="6" fillId="0" borderId="18" xfId="0" applyFont="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2" fontId="6" fillId="4" borderId="11" xfId="0" applyNumberFormat="1" applyFont="1" applyFill="1" applyBorder="1" applyAlignment="1" applyProtection="1">
      <alignment horizontal="center" vertical="center"/>
      <protection locked="0"/>
    </xf>
    <xf numFmtId="164" fontId="6" fillId="4" borderId="12" xfId="0" applyNumberFormat="1" applyFont="1" applyFill="1" applyBorder="1" applyAlignment="1" applyProtection="1">
      <alignment horizontal="center" vertical="center"/>
      <protection locked="0"/>
    </xf>
    <xf numFmtId="2" fontId="6" fillId="4" borderId="6" xfId="0" applyNumberFormat="1" applyFont="1" applyFill="1" applyBorder="1" applyAlignment="1" applyProtection="1">
      <alignment horizontal="center" vertical="center"/>
      <protection locked="0"/>
    </xf>
    <xf numFmtId="164" fontId="6" fillId="4" borderId="14" xfId="0" applyNumberFormat="1" applyFont="1" applyFill="1" applyBorder="1" applyAlignment="1" applyProtection="1">
      <alignment horizontal="center" vertical="center"/>
      <protection locked="0"/>
    </xf>
    <xf numFmtId="2" fontId="6" fillId="4" borderId="16" xfId="0" applyNumberFormat="1" applyFont="1" applyFill="1" applyBorder="1" applyAlignment="1" applyProtection="1">
      <alignment horizontal="center" vertical="center"/>
      <protection locked="0"/>
    </xf>
    <xf numFmtId="14" fontId="6" fillId="4" borderId="7" xfId="0" applyNumberFormat="1" applyFont="1" applyFill="1" applyBorder="1" applyAlignment="1" applyProtection="1">
      <alignment horizontal="center" vertical="center"/>
      <protection locked="0"/>
    </xf>
    <xf numFmtId="14" fontId="6" fillId="4" borderId="8" xfId="0" applyNumberFormat="1" applyFont="1" applyFill="1" applyBorder="1" applyAlignment="1" applyProtection="1">
      <alignment horizontal="center" vertical="center"/>
      <protection locked="0"/>
    </xf>
    <xf numFmtId="14" fontId="6" fillId="4" borderId="16" xfId="0" applyNumberFormat="1" applyFont="1" applyFill="1" applyBorder="1" applyAlignment="1" applyProtection="1">
      <alignment horizontal="center" vertical="center"/>
      <protection locked="0"/>
    </xf>
    <xf numFmtId="14" fontId="6" fillId="4" borderId="6" xfId="0" applyNumberFormat="1" applyFont="1" applyFill="1" applyBorder="1" applyAlignment="1" applyProtection="1">
      <alignment horizontal="center" vertical="center"/>
      <protection locked="0"/>
    </xf>
    <xf numFmtId="14" fontId="6" fillId="4" borderId="14" xfId="0" applyNumberFormat="1" applyFont="1" applyFill="1" applyBorder="1" applyAlignment="1" applyProtection="1">
      <alignment horizontal="center" vertical="center"/>
      <protection locked="0"/>
    </xf>
    <xf numFmtId="0" fontId="9" fillId="0" borderId="7"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0" borderId="19" xfId="0" applyFont="1" applyBorder="1" applyAlignment="1" applyProtection="1">
      <alignment horizontal="center" vertical="center" wrapText="1"/>
      <protection locked="0"/>
    </xf>
    <xf numFmtId="0" fontId="10" fillId="0" borderId="0" xfId="0" applyFont="1" applyAlignment="1" applyProtection="1">
      <alignment vertical="center"/>
      <protection locked="0"/>
    </xf>
    <xf numFmtId="0" fontId="11" fillId="2" borderId="5" xfId="0" applyFont="1" applyFill="1" applyBorder="1" applyAlignment="1" applyProtection="1">
      <alignment wrapText="1"/>
      <protection locked="0"/>
    </xf>
    <xf numFmtId="0" fontId="11" fillId="2" borderId="4" xfId="0" applyFont="1" applyFill="1" applyBorder="1" applyAlignment="1" applyProtection="1">
      <alignment wrapText="1"/>
      <protection locked="0"/>
    </xf>
    <xf numFmtId="164" fontId="9" fillId="4" borderId="6" xfId="0" applyNumberFormat="1" applyFont="1" applyFill="1" applyBorder="1" applyAlignment="1" applyProtection="1">
      <alignment horizontal="center" vertical="center"/>
      <protection locked="0"/>
    </xf>
    <xf numFmtId="164" fontId="9" fillId="4" borderId="14" xfId="0" applyNumberFormat="1" applyFont="1" applyFill="1" applyBorder="1" applyAlignment="1" applyProtection="1">
      <alignment horizontal="center" vertical="center"/>
      <protection locked="0"/>
    </xf>
    <xf numFmtId="164" fontId="9" fillId="4" borderId="16" xfId="0" applyNumberFormat="1" applyFont="1" applyFill="1" applyBorder="1" applyAlignment="1" applyProtection="1">
      <alignment horizontal="center" vertical="center"/>
      <protection locked="0"/>
    </xf>
    <xf numFmtId="0" fontId="11" fillId="2" borderId="2" xfId="0" applyFont="1" applyFill="1" applyBorder="1" applyAlignment="1" applyProtection="1">
      <alignment wrapText="1"/>
      <protection locked="0"/>
    </xf>
    <xf numFmtId="0" fontId="10" fillId="0" borderId="0" xfId="0" applyFont="1" applyProtection="1">
      <protection locked="0"/>
    </xf>
    <xf numFmtId="0" fontId="8" fillId="2" borderId="0" xfId="0" applyFont="1" applyFill="1" applyProtection="1">
      <protection locked="0"/>
    </xf>
    <xf numFmtId="0" fontId="0" fillId="2" borderId="0" xfId="0" applyFill="1" applyAlignment="1" applyProtection="1">
      <alignment vertical="top" wrapText="1"/>
      <protection locked="0"/>
    </xf>
    <xf numFmtId="0" fontId="13" fillId="2" borderId="0" xfId="0" applyFont="1" applyFill="1" applyProtection="1">
      <protection locked="0"/>
    </xf>
    <xf numFmtId="0" fontId="13" fillId="2" borderId="27" xfId="0" applyFont="1" applyFill="1" applyBorder="1" applyProtection="1">
      <protection locked="0"/>
    </xf>
    <xf numFmtId="0" fontId="13" fillId="2" borderId="28" xfId="0" applyFont="1" applyFill="1" applyBorder="1" applyProtection="1">
      <protection locked="0"/>
    </xf>
    <xf numFmtId="0" fontId="12" fillId="2" borderId="29"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3" fillId="2" borderId="29" xfId="0" applyFont="1" applyFill="1" applyBorder="1" applyProtection="1">
      <protection locked="0"/>
      <extLst>
        <ext xmlns:xfpb="http://schemas.microsoft.com/office/spreadsheetml/2022/featurepropertybag" uri="{C7286773-470A-42A8-94C5-96B5CB345126}">
          <xfpb:xfComplement i="0"/>
        </ext>
      </extLst>
    </xf>
    <xf numFmtId="164" fontId="4" fillId="5" borderId="17" xfId="0" applyNumberFormat="1" applyFont="1" applyFill="1" applyBorder="1" applyAlignment="1">
      <alignment horizontal="center" vertical="center"/>
    </xf>
    <xf numFmtId="164" fontId="4" fillId="5" borderId="9" xfId="0" applyNumberFormat="1" applyFont="1" applyFill="1" applyBorder="1" applyAlignment="1">
      <alignment horizontal="center" vertical="center"/>
    </xf>
    <xf numFmtId="164" fontId="7" fillId="5" borderId="12"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9" xfId="0" applyNumberFormat="1" applyFont="1" applyFill="1" applyBorder="1" applyAlignment="1">
      <alignment horizontal="center" vertical="center"/>
    </xf>
    <xf numFmtId="164" fontId="7" fillId="5" borderId="6" xfId="0" applyNumberFormat="1" applyFont="1" applyFill="1" applyBorder="1" applyAlignment="1">
      <alignment horizontal="center" vertical="center"/>
    </xf>
    <xf numFmtId="0" fontId="12" fillId="2" borderId="27" xfId="0" applyFont="1" applyFill="1" applyBorder="1" applyAlignment="1">
      <alignment horizontal="center"/>
    </xf>
    <xf numFmtId="164" fontId="4" fillId="5" borderId="12" xfId="0" applyNumberFormat="1" applyFont="1" applyFill="1" applyBorder="1" applyAlignment="1">
      <alignment horizontal="center" vertical="center"/>
    </xf>
    <xf numFmtId="164" fontId="4" fillId="5" borderId="6" xfId="0" applyNumberFormat="1" applyFont="1" applyFill="1" applyBorder="1" applyAlignment="1">
      <alignment horizontal="center" vertical="center"/>
    </xf>
    <xf numFmtId="0" fontId="2" fillId="2" borderId="10" xfId="0" applyFont="1" applyFill="1" applyBorder="1" applyAlignment="1">
      <alignment horizontal="center" wrapText="1"/>
    </xf>
    <xf numFmtId="0" fontId="11" fillId="0" borderId="4" xfId="0" applyFont="1" applyBorder="1" applyAlignment="1">
      <alignment wrapText="1"/>
    </xf>
    <xf numFmtId="0" fontId="5" fillId="2" borderId="0" xfId="0" applyFont="1" applyFill="1" applyProtection="1">
      <protection locked="0"/>
    </xf>
    <xf numFmtId="0" fontId="14" fillId="0" borderId="0" xfId="0" applyFont="1" applyAlignment="1" applyProtection="1">
      <alignment horizontal="left" vertical="top"/>
      <protection locked="0"/>
    </xf>
    <xf numFmtId="0" fontId="6" fillId="0" borderId="19" xfId="0" applyFont="1" applyBorder="1" applyAlignment="1" applyProtection="1">
      <alignment horizontal="center" vertical="center" wrapText="1"/>
      <protection locked="0"/>
    </xf>
    <xf numFmtId="0" fontId="15" fillId="2" borderId="21" xfId="0" applyFont="1" applyFill="1" applyBorder="1"/>
    <xf numFmtId="0" fontId="17" fillId="2" borderId="0" xfId="0" applyFont="1" applyFill="1"/>
    <xf numFmtId="0" fontId="17" fillId="2" borderId="25" xfId="0" applyFont="1" applyFill="1" applyBorder="1"/>
    <xf numFmtId="0" fontId="17" fillId="2" borderId="21" xfId="0" applyFont="1" applyFill="1" applyBorder="1"/>
    <xf numFmtId="0" fontId="17" fillId="2" borderId="22" xfId="0" applyFont="1" applyFill="1" applyBorder="1"/>
    <xf numFmtId="0" fontId="16" fillId="2" borderId="25" xfId="0" applyFont="1" applyFill="1" applyBorder="1" applyAlignment="1">
      <alignment horizontal="left" vertical="top" wrapText="1"/>
    </xf>
    <xf numFmtId="0" fontId="16" fillId="2" borderId="26" xfId="0" applyFont="1" applyFill="1" applyBorder="1" applyAlignment="1">
      <alignment horizontal="left" vertical="top" wrapText="1"/>
    </xf>
    <xf numFmtId="0" fontId="16" fillId="2" borderId="24" xfId="0" applyFont="1" applyFill="1" applyBorder="1" applyAlignment="1">
      <alignment horizontal="left" vertical="top"/>
    </xf>
    <xf numFmtId="0" fontId="0" fillId="2" borderId="0" xfId="0" applyFill="1" applyAlignment="1" applyProtection="1">
      <alignment horizontal="right"/>
      <protection locked="0"/>
    </xf>
    <xf numFmtId="0" fontId="16" fillId="2" borderId="25" xfId="0" applyFont="1" applyFill="1" applyBorder="1" applyAlignment="1">
      <alignment vertical="center" wrapText="1"/>
    </xf>
    <xf numFmtId="0" fontId="16" fillId="2" borderId="26" xfId="0" applyFont="1" applyFill="1" applyBorder="1" applyAlignment="1">
      <alignment vertical="center" wrapText="1"/>
    </xf>
    <xf numFmtId="0" fontId="16" fillId="2" borderId="24" xfId="0" applyFont="1" applyFill="1" applyBorder="1" applyAlignment="1">
      <alignment vertical="center"/>
    </xf>
    <xf numFmtId="0" fontId="16" fillId="2" borderId="33" xfId="0" applyFont="1" applyFill="1" applyBorder="1" applyAlignment="1">
      <alignment horizontal="left" vertical="center"/>
    </xf>
    <xf numFmtId="0" fontId="16" fillId="2" borderId="0" xfId="0" applyFont="1" applyFill="1" applyAlignment="1">
      <alignment horizontal="left" vertical="center" wrapText="1"/>
    </xf>
    <xf numFmtId="0" fontId="16" fillId="2" borderId="23" xfId="0" applyFont="1" applyFill="1" applyBorder="1" applyAlignment="1">
      <alignment horizontal="left" vertical="center" wrapText="1"/>
    </xf>
    <xf numFmtId="0" fontId="5" fillId="2" borderId="0" xfId="0" applyFont="1" applyFill="1" applyAlignment="1" applyProtection="1">
      <alignment horizontal="right" wrapText="1"/>
      <protection locked="0"/>
    </xf>
    <xf numFmtId="0" fontId="5" fillId="2" borderId="0" xfId="0" applyFont="1" applyFill="1" applyAlignment="1" applyProtection="1">
      <alignment wrapText="1"/>
      <protection locked="0"/>
    </xf>
    <xf numFmtId="0" fontId="5" fillId="2" borderId="11" xfId="0" applyFont="1" applyFill="1" applyBorder="1" applyAlignment="1" applyProtection="1">
      <alignment horizontal="center" vertical="center" wrapText="1"/>
      <protection locked="0"/>
    </xf>
    <xf numFmtId="0" fontId="5" fillId="2" borderId="10" xfId="0" applyFont="1" applyFill="1" applyBorder="1" applyAlignment="1" applyProtection="1">
      <alignment horizontal="center" vertical="center" wrapText="1"/>
      <protection locked="0"/>
    </xf>
    <xf numFmtId="0" fontId="5" fillId="2" borderId="10" xfId="0" applyFont="1" applyFill="1" applyBorder="1" applyAlignment="1" applyProtection="1">
      <alignment horizontal="center" wrapText="1"/>
      <protection locked="0"/>
    </xf>
    <xf numFmtId="0" fontId="5" fillId="2" borderId="10" xfId="0" applyFont="1" applyFill="1" applyBorder="1" applyAlignment="1" applyProtection="1">
      <alignment wrapText="1"/>
      <protection locked="0"/>
    </xf>
    <xf numFmtId="0" fontId="5" fillId="2" borderId="10" xfId="0" applyFont="1" applyFill="1" applyBorder="1" applyAlignment="1">
      <alignment horizontal="center" vertical="center" wrapText="1"/>
    </xf>
    <xf numFmtId="0" fontId="5" fillId="2" borderId="1" xfId="0" applyFont="1" applyFill="1" applyBorder="1" applyAlignment="1" applyProtection="1">
      <alignment wrapText="1"/>
      <protection locked="0"/>
    </xf>
    <xf numFmtId="0" fontId="18" fillId="0" borderId="7" xfId="0" applyFont="1" applyBorder="1" applyAlignment="1" applyProtection="1">
      <alignment horizontal="center" vertical="center" wrapText="1"/>
      <protection locked="0"/>
    </xf>
    <xf numFmtId="164" fontId="7" fillId="5" borderId="12" xfId="0" applyNumberFormat="1" applyFont="1" applyFill="1" applyBorder="1" applyAlignment="1">
      <alignment horizontal="center" vertical="center" wrapText="1"/>
    </xf>
    <xf numFmtId="164" fontId="7" fillId="2" borderId="6" xfId="0" applyNumberFormat="1" applyFont="1" applyFill="1" applyBorder="1" applyAlignment="1">
      <alignment horizontal="center" vertical="center"/>
    </xf>
    <xf numFmtId="0" fontId="5" fillId="2" borderId="5" xfId="0" applyFont="1" applyFill="1" applyBorder="1" applyAlignment="1" applyProtection="1">
      <alignment horizontal="right" wrapText="1"/>
      <protection locked="0"/>
    </xf>
    <xf numFmtId="0" fontId="5" fillId="2" borderId="4" xfId="0" applyFont="1" applyFill="1" applyBorder="1" applyAlignment="1" applyProtection="1">
      <alignment wrapText="1"/>
      <protection locked="0"/>
    </xf>
    <xf numFmtId="0" fontId="5" fillId="2" borderId="4" xfId="0" applyFont="1" applyFill="1" applyBorder="1" applyAlignment="1" applyProtection="1">
      <alignment horizontal="center" wrapText="1"/>
      <protection locked="0"/>
    </xf>
    <xf numFmtId="0" fontId="5" fillId="0" borderId="4" xfId="0" applyFont="1" applyBorder="1" applyAlignment="1">
      <alignment wrapText="1"/>
    </xf>
    <xf numFmtId="0" fontId="5" fillId="2" borderId="7" xfId="0" applyFont="1" applyFill="1" applyBorder="1" applyAlignment="1" applyProtection="1">
      <alignment horizontal="right" wrapText="1"/>
      <protection locked="0"/>
    </xf>
    <xf numFmtId="0" fontId="5" fillId="2" borderId="8" xfId="0" applyFont="1" applyFill="1" applyBorder="1" applyAlignment="1" applyProtection="1">
      <alignment wrapText="1"/>
      <protection locked="0"/>
    </xf>
    <xf numFmtId="0" fontId="5" fillId="0" borderId="8" xfId="0" applyFont="1" applyBorder="1" applyAlignment="1" applyProtection="1">
      <alignment wrapText="1"/>
      <protection locked="0"/>
    </xf>
    <xf numFmtId="0" fontId="5" fillId="0" borderId="15" xfId="0" applyFont="1" applyBorder="1" applyAlignment="1">
      <alignment wrapText="1"/>
    </xf>
    <xf numFmtId="0" fontId="5" fillId="0" borderId="9" xfId="0" applyFont="1" applyBorder="1" applyAlignment="1">
      <alignment wrapText="1"/>
    </xf>
    <xf numFmtId="0" fontId="5" fillId="2" borderId="11" xfId="1" applyFont="1" applyFill="1" applyBorder="1" applyAlignment="1" applyProtection="1">
      <alignment horizontal="right" vertical="center" wrapText="1"/>
      <protection locked="0"/>
    </xf>
    <xf numFmtId="14" fontId="6" fillId="4" borderId="7" xfId="0" applyNumberFormat="1" applyFont="1" applyFill="1" applyBorder="1" applyAlignment="1" applyProtection="1">
      <alignment horizontal="right" vertical="center"/>
      <protection locked="0"/>
    </xf>
    <xf numFmtId="0" fontId="5" fillId="0" borderId="0" xfId="0" applyFont="1" applyAlignment="1" applyProtection="1">
      <alignment horizontal="center" vertical="center" wrapText="1"/>
      <protection locked="0"/>
    </xf>
    <xf numFmtId="0" fontId="0" fillId="0" borderId="0" xfId="0" applyAlignment="1" applyProtection="1">
      <alignment horizontal="right"/>
      <protection locked="0"/>
    </xf>
    <xf numFmtId="0" fontId="17" fillId="2" borderId="2" xfId="0" applyFont="1" applyFill="1" applyBorder="1" applyAlignment="1" applyProtection="1">
      <alignment wrapText="1"/>
      <protection locked="0"/>
    </xf>
    <xf numFmtId="0" fontId="17" fillId="2" borderId="3" xfId="0" applyFont="1" applyFill="1" applyBorder="1" applyAlignment="1" applyProtection="1">
      <alignment wrapText="1"/>
      <protection locked="0"/>
    </xf>
    <xf numFmtId="0" fontId="5" fillId="2" borderId="11" xfId="0" applyFont="1" applyFill="1" applyBorder="1" applyAlignment="1" applyProtection="1">
      <alignment wrapText="1"/>
      <protection locked="0"/>
    </xf>
    <xf numFmtId="0" fontId="5" fillId="2" borderId="5" xfId="0" applyFont="1" applyFill="1" applyBorder="1" applyAlignment="1" applyProtection="1">
      <alignment wrapText="1"/>
      <protection locked="0"/>
    </xf>
    <xf numFmtId="0" fontId="5" fillId="2" borderId="2" xfId="0" applyFont="1" applyFill="1" applyBorder="1" applyAlignment="1" applyProtection="1">
      <alignment wrapText="1"/>
      <protection locked="0"/>
    </xf>
    <xf numFmtId="0" fontId="5" fillId="2" borderId="7" xfId="0" applyFont="1" applyFill="1" applyBorder="1" applyAlignment="1" applyProtection="1">
      <alignment wrapText="1"/>
      <protection locked="0"/>
    </xf>
    <xf numFmtId="0" fontId="5" fillId="2" borderId="3" xfId="0" applyFont="1" applyFill="1" applyBorder="1" applyAlignment="1" applyProtection="1">
      <alignment wrapText="1"/>
      <protection locked="0"/>
    </xf>
    <xf numFmtId="0" fontId="19" fillId="2" borderId="0" xfId="0" applyFont="1" applyFill="1"/>
    <xf numFmtId="0" fontId="20" fillId="2" borderId="0" xfId="0" applyFont="1" applyFill="1" applyAlignment="1">
      <alignment horizontal="center" vertical="center"/>
    </xf>
    <xf numFmtId="0" fontId="20" fillId="2" borderId="0" xfId="0" applyFont="1" applyFill="1"/>
    <xf numFmtId="0" fontId="12" fillId="2" borderId="0" xfId="0" applyFont="1" applyFill="1" applyAlignment="1" applyProtection="1">
      <alignment horizontal="right"/>
      <protection locked="0"/>
      <extLst>
        <ext xmlns:xfpb="http://schemas.microsoft.com/office/spreadsheetml/2022/featurepropertybag" uri="{C7286773-470A-42A8-94C5-96B5CB345126}">
          <xfpb:xfComplement i="0"/>
        </ext>
      </extLst>
    </xf>
    <xf numFmtId="0" fontId="12" fillId="2" borderId="0" xfId="0" applyFont="1" applyFill="1" applyAlignment="1" applyProtection="1">
      <alignment horizontal="right"/>
      <protection locked="0"/>
    </xf>
    <xf numFmtId="0" fontId="0" fillId="0" borderId="0" xfId="0" applyAlignment="1">
      <alignment horizontal="center" vertical="top" wrapText="1"/>
    </xf>
    <xf numFmtId="0" fontId="22" fillId="2" borderId="39" xfId="0" applyFont="1" applyFill="1" applyBorder="1" applyAlignment="1">
      <alignment horizontal="left" vertical="center" wrapText="1"/>
    </xf>
    <xf numFmtId="0" fontId="22" fillId="2" borderId="38" xfId="0" applyFont="1" applyFill="1" applyBorder="1" applyAlignment="1">
      <alignment horizontal="left" vertical="center" wrapText="1"/>
    </xf>
    <xf numFmtId="0" fontId="22" fillId="2" borderId="40" xfId="0" applyFont="1" applyFill="1" applyBorder="1" applyAlignment="1">
      <alignment horizontal="left" vertical="center" wrapText="1"/>
    </xf>
    <xf numFmtId="0" fontId="21" fillId="2" borderId="34" xfId="0" applyFont="1" applyFill="1" applyBorder="1"/>
    <xf numFmtId="0" fontId="21" fillId="2" borderId="35" xfId="0" applyFont="1" applyFill="1" applyBorder="1"/>
    <xf numFmtId="0" fontId="21" fillId="2" borderId="36" xfId="0" applyFont="1" applyFill="1" applyBorder="1"/>
    <xf numFmtId="0" fontId="2" fillId="2" borderId="0" xfId="0" applyFont="1" applyFill="1"/>
    <xf numFmtId="0" fontId="22" fillId="2" borderId="37" xfId="0" applyFont="1" applyFill="1" applyBorder="1" applyAlignment="1">
      <alignment horizontal="left" vertical="center" wrapText="1"/>
    </xf>
    <xf numFmtId="0" fontId="22" fillId="2" borderId="0" xfId="0" applyFont="1" applyFill="1" applyAlignment="1">
      <alignment horizontal="left" vertical="center" wrapText="1"/>
    </xf>
    <xf numFmtId="0" fontId="22" fillId="2" borderId="4" xfId="0" applyFont="1" applyFill="1" applyBorder="1" applyAlignment="1">
      <alignment horizontal="left" vertical="center" wrapText="1"/>
    </xf>
    <xf numFmtId="0" fontId="22" fillId="2" borderId="39" xfId="0" applyFont="1" applyFill="1" applyBorder="1" applyAlignment="1">
      <alignment horizontal="left" vertical="center"/>
    </xf>
    <xf numFmtId="0" fontId="22" fillId="2" borderId="38" xfId="0" applyFont="1" applyFill="1" applyBorder="1" applyAlignment="1">
      <alignment horizontal="left" vertical="center"/>
    </xf>
    <xf numFmtId="0" fontId="22" fillId="2" borderId="40" xfId="0" applyFont="1" applyFill="1" applyBorder="1" applyAlignment="1">
      <alignment horizontal="left" vertical="center"/>
    </xf>
    <xf numFmtId="0" fontId="16" fillId="2" borderId="24" xfId="0" applyFont="1" applyFill="1" applyBorder="1" applyAlignment="1">
      <alignment horizontal="left" vertical="top" wrapText="1"/>
    </xf>
    <xf numFmtId="0" fontId="16" fillId="2" borderId="25" xfId="0" applyFont="1" applyFill="1" applyBorder="1" applyAlignment="1">
      <alignment horizontal="left" vertical="top" wrapText="1"/>
    </xf>
    <xf numFmtId="0" fontId="16" fillId="2" borderId="26" xfId="0" applyFont="1" applyFill="1" applyBorder="1" applyAlignment="1">
      <alignment horizontal="left" vertical="top" wrapText="1"/>
    </xf>
    <xf numFmtId="0" fontId="16" fillId="2" borderId="24" xfId="0" applyFont="1" applyFill="1" applyBorder="1" applyAlignment="1">
      <alignment wrapText="1"/>
    </xf>
    <xf numFmtId="0" fontId="16" fillId="2" borderId="25" xfId="0" applyFont="1" applyFill="1" applyBorder="1" applyAlignment="1">
      <alignment wrapText="1"/>
    </xf>
    <xf numFmtId="0" fontId="16" fillId="2" borderId="26" xfId="0" applyFont="1" applyFill="1" applyBorder="1" applyAlignment="1">
      <alignment wrapText="1"/>
    </xf>
    <xf numFmtId="0" fontId="16" fillId="2" borderId="30" xfId="0" applyFont="1" applyFill="1" applyBorder="1" applyAlignment="1">
      <alignment horizontal="left" vertical="top" wrapText="1"/>
    </xf>
    <xf numFmtId="0" fontId="16" fillId="2" borderId="31" xfId="0" applyFont="1" applyFill="1" applyBorder="1" applyAlignment="1">
      <alignment horizontal="left" vertical="top" wrapText="1"/>
    </xf>
    <xf numFmtId="0" fontId="16" fillId="2" borderId="32" xfId="0" applyFont="1" applyFill="1" applyBorder="1" applyAlignment="1">
      <alignment horizontal="left" vertical="top" wrapText="1"/>
    </xf>
    <xf numFmtId="0" fontId="15" fillId="2" borderId="20" xfId="0" applyFont="1" applyFill="1" applyBorder="1"/>
    <xf numFmtId="0" fontId="15" fillId="2" borderId="21" xfId="0" applyFont="1" applyFill="1" applyBorder="1"/>
    <xf numFmtId="0" fontId="15" fillId="2" borderId="22" xfId="0" applyFont="1" applyFill="1" applyBorder="1"/>
    <xf numFmtId="0" fontId="16" fillId="2" borderId="0" xfId="0" applyFont="1" applyFill="1" applyAlignment="1">
      <alignment horizontal="left" vertical="top" wrapText="1"/>
    </xf>
    <xf numFmtId="0" fontId="16" fillId="2" borderId="23" xfId="0" applyFont="1" applyFill="1" applyBorder="1" applyAlignment="1">
      <alignment horizontal="left" vertical="top" wrapText="1"/>
    </xf>
    <xf numFmtId="0" fontId="12" fillId="2" borderId="0" xfId="0" applyFont="1" applyFill="1" applyAlignment="1" applyProtection="1">
      <alignment horizontal="right"/>
      <protection locked="0"/>
      <extLst>
        <ext xmlns:xfpb="http://schemas.microsoft.com/office/spreadsheetml/2022/featurepropertybag" uri="{C7286773-470A-42A8-94C5-96B5CB345126}">
          <xfpb:xfComplement i="0"/>
        </ext>
      </extLst>
    </xf>
    <xf numFmtId="0" fontId="12" fillId="2" borderId="23" xfId="0" applyFont="1" applyFill="1" applyBorder="1" applyAlignment="1" applyProtection="1">
      <alignment horizontal="right"/>
      <protection locked="0"/>
      <extLst>
        <ext xmlns:xfpb="http://schemas.microsoft.com/office/spreadsheetml/2022/featurepropertybag" uri="{C7286773-470A-42A8-94C5-96B5CB345126}">
          <xfpb:xfComplement i="0"/>
        </ext>
      </extLst>
    </xf>
    <xf numFmtId="0" fontId="12" fillId="2" borderId="4" xfId="0" applyFont="1" applyFill="1" applyBorder="1" applyAlignment="1" applyProtection="1">
      <alignment horizontal="right"/>
      <protection locked="0"/>
      <extLst>
        <ext xmlns:xfpb="http://schemas.microsoft.com/office/spreadsheetml/2022/featurepropertybag" uri="{C7286773-470A-42A8-94C5-96B5CB345126}">
          <xfpb:xfComplement i="0"/>
        </ext>
      </extLst>
    </xf>
    <xf numFmtId="0" fontId="16" fillId="2" borderId="34" xfId="0" applyFont="1" applyFill="1" applyBorder="1" applyAlignment="1">
      <alignment horizontal="left" vertical="center" wrapText="1"/>
    </xf>
    <xf numFmtId="0" fontId="16" fillId="2" borderId="35"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24" xfId="0" applyFont="1" applyFill="1" applyBorder="1" applyAlignment="1">
      <alignment vertical="center" wrapText="1"/>
    </xf>
    <xf numFmtId="0" fontId="16" fillId="2" borderId="25" xfId="0" applyFont="1" applyFill="1" applyBorder="1" applyAlignment="1">
      <alignment vertical="center" wrapText="1"/>
    </xf>
    <xf numFmtId="0" fontId="16" fillId="2" borderId="26" xfId="0" applyFont="1" applyFill="1" applyBorder="1" applyAlignment="1">
      <alignment vertical="center" wrapText="1"/>
    </xf>
    <xf numFmtId="0" fontId="16" fillId="2" borderId="30" xfId="0" applyFont="1" applyFill="1" applyBorder="1" applyAlignment="1">
      <alignment horizontal="left" vertical="center" wrapText="1"/>
    </xf>
    <xf numFmtId="0" fontId="16" fillId="2" borderId="31" xfId="0" applyFont="1" applyFill="1" applyBorder="1" applyAlignment="1">
      <alignment horizontal="left" vertical="center" wrapText="1"/>
    </xf>
    <xf numFmtId="0" fontId="16" fillId="2" borderId="32" xfId="0" applyFont="1" applyFill="1" applyBorder="1" applyAlignment="1">
      <alignment horizontal="left" vertical="center" wrapText="1"/>
    </xf>
    <xf numFmtId="0" fontId="16" fillId="2" borderId="20"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22" xfId="0" applyFont="1" applyFill="1" applyBorder="1" applyAlignment="1">
      <alignment horizontal="left" vertical="center" wrapText="1"/>
    </xf>
    <xf numFmtId="0" fontId="16" fillId="2" borderId="24" xfId="0" applyFont="1" applyFill="1" applyBorder="1" applyAlignment="1">
      <alignment horizontal="left" vertical="center" wrapText="1"/>
    </xf>
    <xf numFmtId="0" fontId="16" fillId="2" borderId="25" xfId="0" applyFont="1" applyFill="1" applyBorder="1" applyAlignment="1">
      <alignment horizontal="left" vertical="center" wrapText="1"/>
    </xf>
    <xf numFmtId="0" fontId="16" fillId="2" borderId="26" xfId="0" applyFont="1" applyFill="1" applyBorder="1" applyAlignment="1">
      <alignment horizontal="left" vertical="center" wrapText="1"/>
    </xf>
    <xf numFmtId="0" fontId="8" fillId="0" borderId="0" xfId="0" applyFont="1" applyAlignment="1" applyProtection="1">
      <alignment horizontal="center"/>
      <protection locked="0"/>
    </xf>
  </cellXfs>
  <cellStyles count="2">
    <cellStyle name="60% - Accent1" xfId="1" builtinId="32"/>
    <cellStyle name="Normal" xfId="0" builtinId="0"/>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99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0</xdr:col>
      <xdr:colOff>133350</xdr:colOff>
      <xdr:row>9</xdr:row>
      <xdr:rowOff>28576</xdr:rowOff>
    </xdr:from>
    <xdr:ext cx="6780068" cy="1943100"/>
    <xdr:sp macro="" textlink="">
      <xdr:nvSpPr>
        <xdr:cNvPr id="2" name="TextBox 1">
          <a:extLst>
            <a:ext uri="{FF2B5EF4-FFF2-40B4-BE49-F238E27FC236}">
              <a16:creationId xmlns:a16="http://schemas.microsoft.com/office/drawing/2014/main" id="{BE10A563-3064-4CE8-AC6F-CE162CAB436B}"/>
            </a:ext>
          </a:extLst>
        </xdr:cNvPr>
        <xdr:cNvSpPr txBox="1"/>
      </xdr:nvSpPr>
      <xdr:spPr>
        <a:xfrm>
          <a:off x="133350" y="2124076"/>
          <a:ext cx="6780068" cy="1943100"/>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tx1"/>
              </a:solidFill>
              <a:effectLst/>
              <a:latin typeface="+mn-lt"/>
              <a:ea typeface="+mn-ea"/>
              <a:cs typeface="+mn-cs"/>
            </a:rPr>
            <a:t>Basic Requirements</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**The account has been open for at least 9 months.</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**The account has not been re-aged (or had a TCP/PCP) more than once in a 12-month period or twice in a 5-year</a:t>
          </a:r>
          <a:r>
            <a:rPr lang="en-US" sz="900" b="0" i="0" u="none" strike="noStrike" baseline="0">
              <a:solidFill>
                <a:schemeClr val="tx1"/>
              </a:solidFill>
              <a:effectLst/>
              <a:latin typeface="Verdana" panose="020B0604030504040204" pitchFamily="34" charset="0"/>
              <a:ea typeface="Verdana" panose="020B0604030504040204" pitchFamily="34" charset="0"/>
              <a:cs typeface="+mn-cs"/>
            </a:rPr>
            <a:t> </a:t>
          </a:r>
          <a:r>
            <a:rPr lang="en-US" sz="900" b="0" i="0" u="none" strike="noStrike">
              <a:solidFill>
                <a:schemeClr val="tx1"/>
              </a:solidFill>
              <a:effectLst/>
              <a:latin typeface="Verdana" panose="020B0604030504040204" pitchFamily="34" charset="0"/>
              <a:ea typeface="Verdana" panose="020B0604030504040204" pitchFamily="34" charset="0"/>
              <a:cs typeface="+mn-cs"/>
            </a:rPr>
            <a:t>period.</a:t>
          </a:r>
          <a:r>
            <a:rPr lang="en-US" sz="900">
              <a:effectLst/>
              <a:latin typeface="Verdana" panose="020B0604030504040204" pitchFamily="34" charset="0"/>
              <a:ea typeface="Verdana" panose="020B0604030504040204" pitchFamily="34" charset="0"/>
            </a:rPr>
            <a:t> </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**Merchant Authorized accounts require Supervisor/Team Lead/Manager approval.</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**Multi-Use accounts with Special Terms do not qualify.</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**PowerPlan Balance Forward accounts with Even Payment Plans (EPPs) do not qualify.</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**PowerPlan OIB accounts do not qualify.</a:t>
          </a:r>
          <a:r>
            <a:rPr lang="en-US" sz="900">
              <a:effectLst/>
              <a:latin typeface="Verdana" panose="020B0604030504040204" pitchFamily="34" charset="0"/>
              <a:ea typeface="Verdana" panose="020B0604030504040204" pitchFamily="34" charset="0"/>
            </a:rPr>
            <a:t> </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**Government accounts that have invoices due in full after 60 days do not qualify.</a:t>
          </a:r>
          <a:r>
            <a:rPr lang="en-US" sz="900">
              <a:effectLst/>
              <a:latin typeface="Verdana" panose="020B0604030504040204" pitchFamily="34" charset="0"/>
              <a:ea typeface="Verdana" panose="020B0604030504040204" pitchFamily="34" charset="0"/>
            </a:rPr>
            <a:t> </a:t>
          </a:r>
          <a:r>
            <a:rPr lang="en-US" sz="900" b="0" i="0" u="none" strike="noStrike">
              <a:solidFill>
                <a:schemeClr val="tx1"/>
              </a:solidFill>
              <a:effectLst/>
              <a:latin typeface="Verdana" panose="020B0604030504040204" pitchFamily="34" charset="0"/>
              <a:ea typeface="Verdana" panose="020B0604030504040204" pitchFamily="34" charset="0"/>
              <a:cs typeface="+mn-cs"/>
            </a:rPr>
            <a:t>If you feel a re-age, TCP, or PCP  should be considered for an account that does not meet the above criteria due to extenuating and drastic circumstances. </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**Please review the account with a supervisor before discussing re-age options with the customer.</a:t>
          </a:r>
          <a:r>
            <a:rPr lang="en-US" sz="900">
              <a:effectLst/>
              <a:latin typeface="Verdana" panose="020B0604030504040204" pitchFamily="34" charset="0"/>
              <a:ea typeface="Verdana" panose="020B0604030504040204" pitchFamily="34" charset="0"/>
            </a:rPr>
            <a:t> </a:t>
          </a:r>
          <a:endParaRPr lang="en-US" sz="900">
            <a:latin typeface="Verdana" panose="020B0604030504040204" pitchFamily="34" charset="0"/>
            <a:ea typeface="Verdana" panose="020B0604030504040204" pitchFamily="34" charset="0"/>
          </a:endParaRPr>
        </a:p>
      </xdr:txBody>
    </xdr:sp>
    <xdr:clientData/>
  </xdr:oneCellAnchor>
  <xdr:oneCellAnchor>
    <xdr:from>
      <xdr:col>8</xdr:col>
      <xdr:colOff>304801</xdr:colOff>
      <xdr:row>9</xdr:row>
      <xdr:rowOff>38100</xdr:rowOff>
    </xdr:from>
    <xdr:ext cx="7560252" cy="1933576"/>
    <xdr:sp macro="" textlink="">
      <xdr:nvSpPr>
        <xdr:cNvPr id="3" name="TextBox 2">
          <a:extLst>
            <a:ext uri="{FF2B5EF4-FFF2-40B4-BE49-F238E27FC236}">
              <a16:creationId xmlns:a16="http://schemas.microsoft.com/office/drawing/2014/main" id="{131EE2E6-29F3-432F-80DD-E1727B24FAC1}"/>
            </a:ext>
          </a:extLst>
        </xdr:cNvPr>
        <xdr:cNvSpPr txBox="1"/>
      </xdr:nvSpPr>
      <xdr:spPr>
        <a:xfrm>
          <a:off x="7219951" y="2133600"/>
          <a:ext cx="7560252" cy="1933576"/>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tx1"/>
              </a:solidFill>
              <a:effectLst/>
              <a:latin typeface="+mn-lt"/>
              <a:ea typeface="+mn-ea"/>
              <a:cs typeface="+mn-cs"/>
            </a:rPr>
            <a:t>Educate Customer on the following</a:t>
          </a:r>
          <a:r>
            <a:rPr lang="en-US">
              <a:effectLst/>
            </a:rPr>
            <a:t> </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*Confirm customer commitment and ability to make agreed payment for the TCP over the agreed time period.</a:t>
          </a:r>
        </a:p>
        <a:p>
          <a:r>
            <a:rPr lang="en-US" sz="900">
              <a:effectLst/>
              <a:latin typeface="Verdana" panose="020B0604030504040204" pitchFamily="34" charset="0"/>
              <a:ea typeface="Verdana" panose="020B0604030504040204" pitchFamily="34" charset="0"/>
            </a:rPr>
            <a:t> </a:t>
          </a:r>
        </a:p>
        <a:p>
          <a:r>
            <a:rPr lang="en-US" sz="900" b="0" i="0" u="none" strike="noStrike">
              <a:solidFill>
                <a:schemeClr val="tx1"/>
              </a:solidFill>
              <a:effectLst/>
              <a:latin typeface="Verdana" panose="020B0604030504040204" pitchFamily="34" charset="0"/>
              <a:ea typeface="Verdana" panose="020B0604030504040204" pitchFamily="34" charset="0"/>
              <a:cs typeface="+mn-cs"/>
            </a:rPr>
            <a:t>*For low-rate or 0% promgrams with fixed payment, advise the customer on the expiration date or dates for change in interest</a:t>
          </a:r>
          <a:r>
            <a:rPr lang="en-US" sz="900">
              <a:effectLst/>
              <a:latin typeface="Verdana" panose="020B0604030504040204" pitchFamily="34" charset="0"/>
              <a:ea typeface="Verdana" panose="020B0604030504040204" pitchFamily="34" charset="0"/>
            </a:rPr>
            <a:t> </a:t>
          </a:r>
          <a:r>
            <a:rPr lang="en-US" sz="900" b="0" i="0" u="none" strike="noStrike">
              <a:solidFill>
                <a:schemeClr val="tx1"/>
              </a:solidFill>
              <a:effectLst/>
              <a:latin typeface="Verdana" panose="020B0604030504040204" pitchFamily="34" charset="0"/>
              <a:ea typeface="Verdana" panose="020B0604030504040204" pitchFamily="34" charset="0"/>
              <a:cs typeface="+mn-cs"/>
            </a:rPr>
            <a:t>Advise customer that TCPs can only be done once every 12 months or twice within a 5 year period.</a:t>
          </a:r>
        </a:p>
        <a:p>
          <a:endParaRPr lang="en-US" sz="900" b="0" i="0" u="none" strike="noStrike">
            <a:solidFill>
              <a:schemeClr val="tx1"/>
            </a:solidFill>
            <a:effectLst/>
            <a:latin typeface="Verdana" panose="020B0604030504040204" pitchFamily="34" charset="0"/>
            <a:ea typeface="Verdana" panose="020B0604030504040204" pitchFamily="34" charset="0"/>
            <a:cs typeface="+mn-cs"/>
          </a:endParaRPr>
        </a:p>
        <a:p>
          <a:r>
            <a:rPr lang="en-US" sz="900" b="0" i="0" u="none" strike="noStrike">
              <a:solidFill>
                <a:schemeClr val="tx1"/>
              </a:solidFill>
              <a:effectLst/>
              <a:latin typeface="Verdana" panose="020B0604030504040204" pitchFamily="34" charset="0"/>
              <a:ea typeface="Verdana" panose="020B0604030504040204" pitchFamily="34" charset="0"/>
              <a:cs typeface="+mn-cs"/>
            </a:rPr>
            <a:t>*Advise customer that the account will be restricted while payments are reduced and if they do not make agreed payments, the deal is off and the payment will return to normal and late fees will assess.</a:t>
          </a:r>
        </a:p>
        <a:p>
          <a:endParaRPr lang="en-US" sz="900">
            <a:effectLst/>
            <a:latin typeface="Verdana" panose="020B0604030504040204" pitchFamily="34" charset="0"/>
            <a:ea typeface="Verdana" panose="020B0604030504040204" pitchFamily="34" charset="0"/>
          </a:endParaRPr>
        </a:p>
        <a:p>
          <a:r>
            <a:rPr lang="en-US" sz="900">
              <a:effectLst/>
              <a:latin typeface="Verdana" panose="020B0604030504040204" pitchFamily="34" charset="0"/>
              <a:ea typeface="Verdana" panose="020B0604030504040204" pitchFamily="34" charset="0"/>
            </a:rPr>
            <a:t>* </a:t>
          </a:r>
          <a:r>
            <a:rPr lang="en-US" sz="900" b="0" i="0" u="none" strike="noStrike">
              <a:solidFill>
                <a:schemeClr val="tx1"/>
              </a:solidFill>
              <a:effectLst/>
              <a:latin typeface="Verdana" panose="020B0604030504040204" pitchFamily="34" charset="0"/>
              <a:ea typeface="Verdana" panose="020B0604030504040204" pitchFamily="34" charset="0"/>
              <a:cs typeface="+mn-cs"/>
            </a:rPr>
            <a:t>Advise customer of which months payments will be reduced and which month the payment will return to normal and confirming that they will be able to make the normal payments going forward from that time</a:t>
          </a:r>
          <a:r>
            <a:rPr lang="en-US" sz="900">
              <a:effectLst/>
              <a:latin typeface="Verdana" panose="020B0604030504040204" pitchFamily="34" charset="0"/>
              <a:ea typeface="Verdana" panose="020B0604030504040204" pitchFamily="34" charset="0"/>
            </a:rPr>
            <a:t> </a:t>
          </a:r>
          <a:endParaRPr lang="en-US" sz="900">
            <a:latin typeface="Verdana" panose="020B0604030504040204" pitchFamily="34" charset="0"/>
            <a:ea typeface="Verdana" panose="020B0604030504040204" pitchFamily="34" charset="0"/>
          </a:endParaRPr>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CB76-61BC-4214-AAAB-91CF34C7D57A}">
  <dimension ref="A1:Z89"/>
  <sheetViews>
    <sheetView topLeftCell="A13" zoomScale="115" zoomScaleNormal="115" workbookViewId="0">
      <selection activeCell="B30" sqref="B30"/>
    </sheetView>
  </sheetViews>
  <sheetFormatPr defaultColWidth="8.7265625" defaultRowHeight="14.5" x14ac:dyDescent="0.35"/>
  <cols>
    <col min="1" max="1" width="8.7265625" style="24"/>
    <col min="2" max="2" width="10.1796875" style="1" bestFit="1" customWidth="1"/>
    <col min="3" max="3" width="16.81640625" style="1" customWidth="1"/>
    <col min="4" max="4" width="19.453125" style="1" customWidth="1"/>
    <col min="5" max="5" width="16.453125" style="1" customWidth="1"/>
    <col min="6" max="7" width="13.81640625" style="1" customWidth="1"/>
    <col min="8" max="8" width="14.1796875" style="1" customWidth="1"/>
    <col min="9" max="9" width="14" style="1" customWidth="1"/>
    <col min="10" max="10" width="17.26953125" style="1" customWidth="1"/>
    <col min="11" max="11" width="19.453125" style="1" customWidth="1"/>
    <col min="12" max="12" width="8.7265625" style="1"/>
    <col min="13" max="13" width="13.81640625" style="1" customWidth="1"/>
    <col min="14" max="16384" width="8.7265625" style="1"/>
  </cols>
  <sheetData>
    <row r="1" spans="2:12" s="24" customFormat="1" x14ac:dyDescent="0.35"/>
    <row r="2" spans="2:12" s="24" customFormat="1" x14ac:dyDescent="0.35">
      <c r="B2" s="68"/>
      <c r="C2" s="150" t="s">
        <v>0</v>
      </c>
      <c r="D2" s="151"/>
      <c r="E2" s="151"/>
      <c r="F2" s="151"/>
      <c r="G2" s="151"/>
      <c r="H2" s="151"/>
      <c r="I2" s="151"/>
      <c r="J2" s="151"/>
      <c r="K2" s="152"/>
      <c r="L2" s="73"/>
    </row>
    <row r="3" spans="2:12" s="24" customFormat="1" x14ac:dyDescent="0.35">
      <c r="B3" s="60" t="b">
        <v>0</v>
      </c>
      <c r="C3" s="144" t="s">
        <v>1</v>
      </c>
      <c r="D3" s="145"/>
      <c r="E3" s="145"/>
      <c r="F3" s="145"/>
      <c r="G3" s="145"/>
      <c r="H3" s="145"/>
      <c r="I3" s="145"/>
      <c r="J3" s="145"/>
      <c r="K3" s="146"/>
      <c r="L3" s="73"/>
    </row>
    <row r="4" spans="2:12" s="24" customFormat="1" ht="24" customHeight="1" x14ac:dyDescent="0.35">
      <c r="B4" s="60" t="b">
        <v>0</v>
      </c>
      <c r="C4" s="144" t="s">
        <v>2</v>
      </c>
      <c r="D4" s="145"/>
      <c r="E4" s="145"/>
      <c r="F4" s="145"/>
      <c r="G4" s="145"/>
      <c r="H4" s="145"/>
      <c r="I4" s="145"/>
      <c r="J4" s="145"/>
      <c r="K4" s="146"/>
      <c r="L4" s="73"/>
    </row>
    <row r="5" spans="2:12" s="24" customFormat="1" x14ac:dyDescent="0.35">
      <c r="B5" s="60" t="b">
        <v>0</v>
      </c>
      <c r="C5" s="144" t="s">
        <v>3</v>
      </c>
      <c r="D5" s="145"/>
      <c r="E5" s="145"/>
      <c r="F5" s="145"/>
      <c r="G5" s="145"/>
      <c r="H5" s="145"/>
      <c r="I5" s="145"/>
      <c r="J5" s="145"/>
      <c r="K5" s="146"/>
      <c r="L5" s="73"/>
    </row>
    <row r="6" spans="2:12" s="24" customFormat="1" x14ac:dyDescent="0.35">
      <c r="B6" s="60" t="b">
        <v>0</v>
      </c>
      <c r="C6" s="144" t="s">
        <v>4</v>
      </c>
      <c r="D6" s="145"/>
      <c r="E6" s="145"/>
      <c r="F6" s="145"/>
      <c r="G6" s="145"/>
      <c r="H6" s="145"/>
      <c r="I6" s="145"/>
      <c r="J6" s="145"/>
      <c r="K6" s="146"/>
      <c r="L6" s="73"/>
    </row>
    <row r="7" spans="2:12" s="24" customFormat="1" x14ac:dyDescent="0.35">
      <c r="B7" s="60" t="b">
        <v>0</v>
      </c>
      <c r="C7" s="144" t="s">
        <v>5</v>
      </c>
      <c r="D7" s="145"/>
      <c r="E7" s="145"/>
      <c r="F7" s="145"/>
      <c r="G7" s="145"/>
      <c r="H7" s="145"/>
      <c r="I7" s="145"/>
      <c r="J7" s="145"/>
      <c r="K7" s="146"/>
      <c r="L7" s="73"/>
    </row>
    <row r="8" spans="2:12" s="24" customFormat="1" x14ac:dyDescent="0.35">
      <c r="B8" s="60" t="b">
        <v>0</v>
      </c>
      <c r="C8" s="144" t="s">
        <v>6</v>
      </c>
      <c r="D8" s="145"/>
      <c r="E8" s="145"/>
      <c r="F8" s="145"/>
      <c r="G8" s="145"/>
      <c r="H8" s="145"/>
      <c r="I8" s="145"/>
      <c r="J8" s="145"/>
      <c r="K8" s="146"/>
      <c r="L8" s="73"/>
    </row>
    <row r="9" spans="2:12" s="24" customFormat="1" ht="22" customHeight="1" x14ac:dyDescent="0.35">
      <c r="B9" s="60" t="b">
        <v>0</v>
      </c>
      <c r="C9" s="141" t="s">
        <v>7</v>
      </c>
      <c r="D9" s="142"/>
      <c r="E9" s="142"/>
      <c r="F9" s="142"/>
      <c r="G9" s="142"/>
      <c r="H9" s="142"/>
      <c r="I9" s="142"/>
      <c r="J9" s="142"/>
      <c r="K9" s="143"/>
      <c r="L9" s="73"/>
    </row>
    <row r="10" spans="2:12" s="24" customFormat="1" x14ac:dyDescent="0.35">
      <c r="B10" s="60" t="b">
        <v>0</v>
      </c>
      <c r="C10" s="144" t="s">
        <v>8</v>
      </c>
      <c r="D10" s="145"/>
      <c r="E10" s="145"/>
      <c r="F10" s="145"/>
      <c r="G10" s="145"/>
      <c r="H10" s="145"/>
      <c r="I10" s="145"/>
      <c r="J10" s="145"/>
      <c r="K10" s="146"/>
      <c r="L10" s="73"/>
    </row>
    <row r="11" spans="2:12" s="24" customFormat="1" hidden="1" x14ac:dyDescent="0.35">
      <c r="B11" s="57"/>
      <c r="C11" s="77"/>
      <c r="D11" s="77"/>
      <c r="E11" s="77"/>
      <c r="F11" s="77"/>
      <c r="G11" s="77"/>
      <c r="H11" s="77"/>
      <c r="I11" s="77"/>
      <c r="J11" s="77"/>
      <c r="K11" s="77"/>
      <c r="L11" s="73"/>
    </row>
    <row r="12" spans="2:12" s="24" customFormat="1" hidden="1" x14ac:dyDescent="0.35">
      <c r="B12" s="57"/>
      <c r="C12" s="77"/>
      <c r="D12" s="77"/>
      <c r="E12" s="77"/>
      <c r="F12" s="77"/>
      <c r="G12" s="77"/>
      <c r="H12" s="77"/>
      <c r="I12" s="77"/>
      <c r="J12" s="77"/>
      <c r="K12" s="77"/>
      <c r="L12" s="73"/>
    </row>
    <row r="13" spans="2:12" s="24" customFormat="1" x14ac:dyDescent="0.35">
      <c r="B13" s="57"/>
      <c r="C13" s="77"/>
      <c r="D13" s="78"/>
      <c r="E13" s="77"/>
      <c r="F13" s="77"/>
      <c r="G13" s="77"/>
      <c r="H13" s="77"/>
      <c r="I13" s="77"/>
      <c r="J13" s="77"/>
      <c r="K13" s="77"/>
      <c r="L13" s="73"/>
    </row>
    <row r="14" spans="2:12" s="24" customFormat="1" x14ac:dyDescent="0.35">
      <c r="B14" s="58"/>
      <c r="C14" s="76" t="s">
        <v>9</v>
      </c>
      <c r="D14" s="77"/>
      <c r="E14" s="79"/>
      <c r="F14" s="79"/>
      <c r="G14" s="79"/>
      <c r="H14" s="79"/>
      <c r="I14" s="79"/>
      <c r="J14" s="79"/>
      <c r="K14" s="80"/>
      <c r="L14" s="73"/>
    </row>
    <row r="15" spans="2:12" s="24" customFormat="1" x14ac:dyDescent="0.35">
      <c r="B15" s="61" t="b">
        <v>0</v>
      </c>
      <c r="C15" s="144" t="s">
        <v>10</v>
      </c>
      <c r="D15" s="145"/>
      <c r="E15" s="145"/>
      <c r="F15" s="145"/>
      <c r="G15" s="145"/>
      <c r="H15" s="145"/>
      <c r="I15" s="145"/>
      <c r="J15" s="145"/>
      <c r="K15" s="146"/>
      <c r="L15" s="73"/>
    </row>
    <row r="16" spans="2:12" s="24" customFormat="1" hidden="1" x14ac:dyDescent="0.35">
      <c r="B16" s="59"/>
      <c r="C16" s="153"/>
      <c r="D16" s="153"/>
      <c r="E16" s="153"/>
      <c r="F16" s="153"/>
      <c r="G16" s="153"/>
      <c r="H16" s="153"/>
      <c r="I16" s="153"/>
      <c r="J16" s="153"/>
      <c r="K16" s="154"/>
      <c r="L16" s="73"/>
    </row>
    <row r="17" spans="2:26" s="24" customFormat="1" ht="31.5" customHeight="1" x14ac:dyDescent="0.35">
      <c r="B17" s="61" t="b">
        <v>0</v>
      </c>
      <c r="C17" s="141" t="s">
        <v>11</v>
      </c>
      <c r="D17" s="142"/>
      <c r="E17" s="142"/>
      <c r="F17" s="142"/>
      <c r="G17" s="142"/>
      <c r="H17" s="142"/>
      <c r="I17" s="142"/>
      <c r="J17" s="142"/>
      <c r="K17" s="143"/>
      <c r="L17" s="73"/>
    </row>
    <row r="18" spans="2:26" s="24" customFormat="1" ht="31.5" customHeight="1" x14ac:dyDescent="0.35">
      <c r="B18" s="61" t="b">
        <v>0</v>
      </c>
      <c r="C18" s="83" t="s">
        <v>12</v>
      </c>
      <c r="D18" s="81"/>
      <c r="E18" s="81"/>
      <c r="F18" s="81"/>
      <c r="G18" s="81"/>
      <c r="H18" s="81"/>
      <c r="I18" s="81"/>
      <c r="J18" s="81"/>
      <c r="K18" s="82"/>
      <c r="L18" s="73"/>
    </row>
    <row r="19" spans="2:26" s="24" customFormat="1" ht="25.5" customHeight="1" x14ac:dyDescent="0.35">
      <c r="B19" s="61" t="b">
        <v>0</v>
      </c>
      <c r="C19" s="144" t="s">
        <v>13</v>
      </c>
      <c r="D19" s="145"/>
      <c r="E19" s="145"/>
      <c r="F19" s="145"/>
      <c r="G19" s="145"/>
      <c r="H19" s="145"/>
      <c r="I19" s="145"/>
      <c r="J19" s="145"/>
      <c r="K19" s="146"/>
      <c r="L19" s="73"/>
    </row>
    <row r="20" spans="2:26" s="24" customFormat="1" ht="23.15" customHeight="1" x14ac:dyDescent="0.35">
      <c r="B20" s="61" t="b">
        <v>0</v>
      </c>
      <c r="C20" s="147" t="s">
        <v>14</v>
      </c>
      <c r="D20" s="148"/>
      <c r="E20" s="148"/>
      <c r="F20" s="148"/>
      <c r="G20" s="148"/>
      <c r="H20" s="148"/>
      <c r="I20" s="148"/>
      <c r="J20" s="148"/>
      <c r="K20" s="149"/>
      <c r="L20" s="73"/>
    </row>
    <row r="21" spans="2:26" s="24" customFormat="1" hidden="1" x14ac:dyDescent="0.35"/>
    <row r="22" spans="2:26" s="24" customFormat="1" ht="13" customHeight="1" x14ac:dyDescent="0.35"/>
    <row r="23" spans="2:26" s="24" customFormat="1" ht="16.5" thickBot="1" x14ac:dyDescent="0.4">
      <c r="B23" s="92"/>
      <c r="C23" s="92"/>
      <c r="D23" s="74" t="s">
        <v>15</v>
      </c>
      <c r="E23" s="92"/>
      <c r="F23" s="92"/>
      <c r="G23" s="92"/>
      <c r="H23" s="92"/>
      <c r="I23" s="92"/>
      <c r="J23" s="92"/>
      <c r="K23" s="92"/>
    </row>
    <row r="24" spans="2:26" s="24" customFormat="1" x14ac:dyDescent="0.35">
      <c r="B24" s="117"/>
      <c r="C24" s="96"/>
      <c r="D24" s="96"/>
      <c r="E24" s="96"/>
      <c r="F24" s="96"/>
      <c r="G24" s="97" t="str" cm="1">
        <f t="array" aca="1" ref="G24:I24" ca="1">TEXT(EDATE(TODAY(),{0,-1,-2}),"mmmm")</f>
        <v>April</v>
      </c>
      <c r="H24" s="97" t="str">
        <f ca="1"/>
        <v>March</v>
      </c>
      <c r="I24" s="97" t="str">
        <f ca="1"/>
        <v>February</v>
      </c>
      <c r="J24" s="96"/>
      <c r="K24" s="98"/>
    </row>
    <row r="25" spans="2:26" s="24" customFormat="1" ht="60.65" customHeight="1" thickBot="1" x14ac:dyDescent="0.4">
      <c r="B25" s="28" t="s">
        <v>16</v>
      </c>
      <c r="C25" s="29" t="s">
        <v>17</v>
      </c>
      <c r="D25" s="30" t="s">
        <v>18</v>
      </c>
      <c r="E25" s="29" t="s">
        <v>19</v>
      </c>
      <c r="F25" s="30" t="s">
        <v>20</v>
      </c>
      <c r="G25" s="31" t="s">
        <v>21</v>
      </c>
      <c r="H25" s="75" t="s">
        <v>22</v>
      </c>
      <c r="I25" s="28" t="s">
        <v>23</v>
      </c>
      <c r="J25" s="30" t="s">
        <v>24</v>
      </c>
      <c r="K25" s="31" t="s">
        <v>25</v>
      </c>
      <c r="L25" s="73"/>
    </row>
    <row r="26" spans="2:26" s="25" customFormat="1" ht="15" thickBot="1" x14ac:dyDescent="0.4">
      <c r="B26" s="32">
        <v>0</v>
      </c>
      <c r="C26" s="33">
        <v>0</v>
      </c>
      <c r="D26" s="64" t="str">
        <f>TEXT(MAX(20, VALUE(C26+1)),"$#,##0") &amp; " - " &amp; TEXT(0.22 * VALUE(B26) / 12,"$#,##0")</f>
        <v>$20 - $0</v>
      </c>
      <c r="E26" s="33">
        <v>0</v>
      </c>
      <c r="F26" s="65">
        <f>$E$26*3</f>
        <v>0</v>
      </c>
      <c r="G26" s="34">
        <v>0</v>
      </c>
      <c r="H26" s="35">
        <v>0</v>
      </c>
      <c r="I26" s="36">
        <v>0</v>
      </c>
      <c r="J26" s="66">
        <f>SUM($G$26:$I$26)</f>
        <v>0</v>
      </c>
      <c r="K26" s="67">
        <f>E26*3 - J26</f>
        <v>0</v>
      </c>
    </row>
    <row r="27" spans="2:26" s="24" customFormat="1" ht="15" thickBot="1" x14ac:dyDescent="0.4">
      <c r="B27" s="118"/>
      <c r="C27" s="103"/>
      <c r="D27" s="103"/>
      <c r="E27" s="103"/>
      <c r="F27" s="105" t="s">
        <v>26</v>
      </c>
      <c r="G27" s="40">
        <v>0</v>
      </c>
      <c r="H27" s="41">
        <v>0</v>
      </c>
      <c r="I27" s="39">
        <v>0</v>
      </c>
      <c r="J27" s="103"/>
      <c r="K27" s="119"/>
    </row>
    <row r="28" spans="2:26" s="24" customFormat="1" ht="15" thickBot="1" x14ac:dyDescent="0.4">
      <c r="B28" s="120"/>
      <c r="C28" s="107"/>
      <c r="D28" s="107"/>
      <c r="E28" s="107"/>
      <c r="F28" s="108"/>
      <c r="G28" s="109"/>
      <c r="H28" s="109" t="str">
        <f>IF(G26&gt; 0, "proceed", " can't use ")</f>
        <v xml:space="preserve"> can't use </v>
      </c>
      <c r="I28" s="110" t="str">
        <f>IF(H26&gt; 0, "proceed", " can't use ")</f>
        <v xml:space="preserve"> can't use </v>
      </c>
      <c r="J28" s="107"/>
      <c r="K28" s="121"/>
    </row>
    <row r="29" spans="2:26" s="24" customFormat="1" x14ac:dyDescent="0.35"/>
    <row r="30" spans="2:26" s="24" customFormat="1" x14ac:dyDescent="0.35"/>
    <row r="31" spans="2:26" s="24" customFormat="1" ht="15" thickBot="1" x14ac:dyDescent="0.4"/>
    <row r="32" spans="2:26" ht="23.25" customHeight="1" thickBot="1" x14ac:dyDescent="0.4">
      <c r="B32" s="20" t="s">
        <v>27</v>
      </c>
      <c r="C32" s="21" t="s">
        <v>27</v>
      </c>
      <c r="D32" s="21" t="s">
        <v>27</v>
      </c>
      <c r="E32" s="21" t="s">
        <v>28</v>
      </c>
      <c r="F32" s="22"/>
      <c r="G32" s="23" t="s">
        <v>29</v>
      </c>
      <c r="H32" s="24"/>
      <c r="I32" s="24"/>
      <c r="J32" s="56"/>
      <c r="K32" s="56"/>
      <c r="L32" s="56"/>
      <c r="M32" s="56"/>
      <c r="N32" s="56"/>
      <c r="O32" s="56"/>
      <c r="P32" s="24"/>
      <c r="Q32" s="24"/>
      <c r="R32" s="24"/>
      <c r="S32" s="24"/>
      <c r="T32" s="24"/>
      <c r="U32" s="24"/>
      <c r="V32" s="24"/>
      <c r="W32" s="24"/>
      <c r="X32" s="24"/>
      <c r="Y32" s="24"/>
      <c r="Z32" s="24"/>
    </row>
    <row r="33" spans="2:26" ht="15" thickBot="1" x14ac:dyDescent="0.4">
      <c r="B33" s="37">
        <v>0</v>
      </c>
      <c r="C33" s="38">
        <v>0</v>
      </c>
      <c r="D33" s="38">
        <v>0</v>
      </c>
      <c r="E33" s="38">
        <v>0</v>
      </c>
      <c r="F33" s="113"/>
      <c r="G33" s="39">
        <v>0</v>
      </c>
      <c r="H33" s="24"/>
      <c r="I33" s="56"/>
      <c r="J33" s="56"/>
      <c r="K33" s="56"/>
      <c r="L33" s="56"/>
      <c r="M33" s="56"/>
      <c r="N33" s="56"/>
      <c r="O33" s="56"/>
      <c r="P33" s="24"/>
      <c r="Q33" s="24"/>
      <c r="R33" s="24"/>
      <c r="S33" s="24"/>
      <c r="T33" s="24"/>
      <c r="U33" s="24"/>
      <c r="V33" s="24"/>
      <c r="W33" s="24"/>
      <c r="X33" s="24"/>
      <c r="Y33" s="24"/>
      <c r="Z33" s="24"/>
    </row>
    <row r="34" spans="2:26" x14ac:dyDescent="0.35">
      <c r="B34" s="24"/>
      <c r="C34" s="24"/>
      <c r="D34" s="24"/>
      <c r="E34" s="24"/>
      <c r="F34" s="24"/>
      <c r="G34" s="24"/>
      <c r="H34" s="24"/>
      <c r="I34" s="56"/>
      <c r="J34" s="56"/>
      <c r="K34" s="56"/>
      <c r="L34" s="56"/>
      <c r="M34" s="56"/>
      <c r="N34" s="56"/>
      <c r="O34" s="56"/>
      <c r="P34" s="24"/>
      <c r="Q34" s="24"/>
      <c r="R34" s="24"/>
      <c r="S34" s="24"/>
      <c r="T34" s="24"/>
      <c r="U34" s="24"/>
      <c r="V34" s="24"/>
      <c r="W34" s="24"/>
      <c r="X34" s="24"/>
      <c r="Y34" s="24"/>
      <c r="Z34" s="24"/>
    </row>
    <row r="35" spans="2:26" x14ac:dyDescent="0.35">
      <c r="B35" s="24"/>
      <c r="C35" s="24"/>
      <c r="D35" s="55" t="s">
        <v>30</v>
      </c>
      <c r="E35" s="24"/>
      <c r="F35" s="24"/>
      <c r="G35" s="24"/>
      <c r="H35" s="24"/>
      <c r="I35" s="56"/>
      <c r="J35" s="56"/>
      <c r="K35" s="56"/>
      <c r="L35" s="56"/>
      <c r="M35" s="56"/>
      <c r="N35" s="56"/>
      <c r="O35" s="56"/>
      <c r="P35" s="24"/>
      <c r="Q35" s="24"/>
      <c r="R35" s="24"/>
      <c r="S35" s="24"/>
      <c r="T35" s="24"/>
      <c r="U35" s="24"/>
      <c r="V35" s="24"/>
      <c r="W35" s="24"/>
      <c r="X35" s="24"/>
      <c r="Y35" s="24"/>
      <c r="Z35" s="24"/>
    </row>
    <row r="36" spans="2:26" x14ac:dyDescent="0.35">
      <c r="B36" s="24"/>
      <c r="C36" s="24"/>
      <c r="D36" s="24"/>
      <c r="E36" s="24"/>
      <c r="F36" s="24"/>
      <c r="G36" s="24"/>
      <c r="H36" s="24"/>
      <c r="I36" s="56"/>
      <c r="J36" s="56"/>
      <c r="K36" s="56"/>
      <c r="L36" s="56"/>
      <c r="M36" s="56"/>
      <c r="N36" s="56"/>
      <c r="O36" s="56"/>
      <c r="P36" s="24"/>
      <c r="Q36" s="24"/>
      <c r="R36" s="24"/>
      <c r="S36" s="24"/>
      <c r="T36" s="24"/>
      <c r="U36" s="24"/>
      <c r="V36" s="24"/>
      <c r="W36" s="24"/>
      <c r="X36" s="24"/>
      <c r="Y36" s="24"/>
      <c r="Z36" s="24"/>
    </row>
    <row r="37" spans="2:26" ht="15" customHeight="1" x14ac:dyDescent="0.35">
      <c r="B37" s="127" t="str">
        <f xml:space="preserve"> "Please set TCP @ $" &amp; TEXT($E26,"0.00") &amp;
  " for the due dates of " &amp; TEXT($B33,"mm/dd/yy") &amp; ", " &amp; TEXT($C33,"mm/dd/yy") &amp; ", and " &amp; TEXT($D33,"mm/dd/yy") &amp;
  ". Payment will return to normal for the " &amp; TEXT($E33,"mm/dd/yy") &amp; " due date. " &amp;
  "Educated cust that this arrangement is only available once in 12 months or twice in 5 years. " &amp;
  "Cust understands account will be restricted during the TCP and if a payment is not met, the account will be removed from program and payments will return to normal. " &amp;
  "Customer understands interest rate will end on " &amp; TEXT($G33,"mm/dd/yy") &amp; ". (if low-rate program will expire) " &amp;
  "I confirm the account meets basic requirements. " &amp;
  "Qualifying payments: $" &amp; TEXT($G26,"0.00") &amp; " on " &amp; TEXT($H26,"mm/dd/yy") &amp; "; $" &amp; TEXT($I26,"0.00") &amp; " on " &amp; TEXT($G27,"mm/dd/yy") &amp; "; $" &amp; TEXT($H27,"0.00") &amp; " on " &amp; TEXT($I27,"mm/dd/yy") &amp;
  " (repeat as necessary). Name/ext"</f>
        <v>Please set TCP @ $0.00 for the due dates of 01/00/00, 01/00/00, and 01/00/00. Payment will return to normal for the 01/00/00 due date. Educated cust that this arrangement is only available once in 12 months or twice in 5 years. Cust understands account will be restricted during the TCP and if a payment is not met, the account will be removed from program and payments will return to normal. Customer understands interest rate will end on 01/00/00. (if low-rate program will expire) I confirm the account meets basic requirements. Qualifying payments: $0.00 on 01/00/00; $0.00 on 01/00/00; $0.00 on 01/00/00 (repeat as necessary). Name/ext</v>
      </c>
      <c r="C37" s="127"/>
      <c r="D37" s="127"/>
      <c r="E37" s="127"/>
      <c r="F37" s="127"/>
      <c r="G37" s="127"/>
      <c r="H37" s="127"/>
      <c r="I37" s="56"/>
      <c r="J37" s="56"/>
      <c r="K37" s="56"/>
      <c r="L37" s="56"/>
      <c r="M37" s="56"/>
      <c r="N37" s="56"/>
      <c r="O37" s="56"/>
      <c r="P37" s="24"/>
      <c r="Q37" s="24"/>
      <c r="R37" s="24"/>
      <c r="S37" s="24"/>
      <c r="T37" s="24"/>
      <c r="U37" s="24"/>
      <c r="V37" s="24"/>
      <c r="W37" s="24"/>
      <c r="X37" s="24"/>
      <c r="Y37" s="24"/>
      <c r="Z37" s="24"/>
    </row>
    <row r="38" spans="2:26" x14ac:dyDescent="0.35">
      <c r="B38" s="127"/>
      <c r="C38" s="127"/>
      <c r="D38" s="127"/>
      <c r="E38" s="127"/>
      <c r="F38" s="127"/>
      <c r="G38" s="127"/>
      <c r="H38" s="127"/>
      <c r="I38" s="56"/>
      <c r="J38" s="56"/>
      <c r="K38" s="56"/>
      <c r="L38" s="56"/>
      <c r="M38" s="56"/>
      <c r="N38" s="56"/>
      <c r="O38" s="56"/>
      <c r="P38" s="24"/>
      <c r="Q38" s="24"/>
      <c r="R38" s="24"/>
      <c r="S38" s="24"/>
      <c r="T38" s="24"/>
      <c r="U38" s="24"/>
      <c r="V38" s="24"/>
      <c r="W38" s="24"/>
      <c r="X38" s="24"/>
      <c r="Y38" s="24"/>
      <c r="Z38" s="24"/>
    </row>
    <row r="39" spans="2:26" x14ac:dyDescent="0.35">
      <c r="B39" s="127"/>
      <c r="C39" s="127"/>
      <c r="D39" s="127"/>
      <c r="E39" s="127"/>
      <c r="F39" s="127"/>
      <c r="G39" s="127"/>
      <c r="H39" s="127"/>
      <c r="I39" s="56"/>
      <c r="J39" s="56"/>
      <c r="K39" s="56"/>
      <c r="L39" s="56"/>
      <c r="M39" s="56"/>
      <c r="N39" s="56"/>
      <c r="O39" s="56"/>
      <c r="P39" s="24"/>
      <c r="Q39" s="24"/>
      <c r="R39" s="24"/>
      <c r="S39" s="24"/>
      <c r="T39" s="24"/>
      <c r="U39" s="24"/>
      <c r="V39" s="24"/>
      <c r="W39" s="24"/>
      <c r="X39" s="24"/>
      <c r="Y39" s="24"/>
      <c r="Z39" s="24"/>
    </row>
    <row r="40" spans="2:26" x14ac:dyDescent="0.35">
      <c r="B40" s="127"/>
      <c r="C40" s="127"/>
      <c r="D40" s="127"/>
      <c r="E40" s="127"/>
      <c r="F40" s="127"/>
      <c r="G40" s="127"/>
      <c r="H40" s="127"/>
      <c r="I40" s="56"/>
      <c r="J40" s="56"/>
      <c r="K40" s="56"/>
      <c r="L40" s="56"/>
      <c r="M40" s="56"/>
      <c r="N40" s="56"/>
      <c r="O40" s="56"/>
      <c r="P40" s="24"/>
      <c r="Q40" s="24"/>
      <c r="R40" s="24"/>
      <c r="S40" s="24"/>
      <c r="T40" s="24"/>
      <c r="U40" s="24"/>
      <c r="V40" s="24"/>
      <c r="W40" s="24"/>
      <c r="X40" s="24"/>
      <c r="Y40" s="24"/>
      <c r="Z40" s="24"/>
    </row>
    <row r="41" spans="2:26" x14ac:dyDescent="0.35">
      <c r="B41" s="127"/>
      <c r="C41" s="127"/>
      <c r="D41" s="127"/>
      <c r="E41" s="127"/>
      <c r="F41" s="127"/>
      <c r="G41" s="127"/>
      <c r="H41" s="127"/>
      <c r="I41" s="56"/>
      <c r="J41" s="56"/>
      <c r="K41" s="56"/>
      <c r="L41" s="56"/>
      <c r="M41" s="56"/>
      <c r="N41" s="56"/>
      <c r="O41" s="56"/>
      <c r="P41" s="24"/>
      <c r="Q41" s="24"/>
      <c r="R41" s="24"/>
      <c r="S41" s="24"/>
      <c r="T41" s="24"/>
      <c r="U41" s="24"/>
      <c r="V41" s="24"/>
      <c r="W41" s="24"/>
      <c r="X41" s="24"/>
      <c r="Y41" s="24"/>
      <c r="Z41" s="24"/>
    </row>
    <row r="42" spans="2:26" x14ac:dyDescent="0.35">
      <c r="B42" s="127"/>
      <c r="C42" s="127"/>
      <c r="D42" s="127"/>
      <c r="E42" s="127"/>
      <c r="F42" s="127"/>
      <c r="G42" s="127"/>
      <c r="H42" s="127"/>
      <c r="I42" s="56"/>
      <c r="J42" s="56"/>
      <c r="K42" s="56"/>
      <c r="L42" s="56"/>
      <c r="M42" s="56"/>
      <c r="N42" s="56"/>
      <c r="O42" s="56"/>
      <c r="P42" s="24"/>
      <c r="Q42" s="24"/>
      <c r="R42" s="24"/>
      <c r="S42" s="24"/>
      <c r="T42" s="24"/>
      <c r="U42" s="24"/>
      <c r="V42" s="24"/>
      <c r="W42" s="24"/>
      <c r="X42" s="24"/>
      <c r="Y42" s="24"/>
      <c r="Z42" s="24"/>
    </row>
    <row r="43" spans="2:26" x14ac:dyDescent="0.35">
      <c r="B43" s="127"/>
      <c r="C43" s="127"/>
      <c r="D43" s="127"/>
      <c r="E43" s="127"/>
      <c r="F43" s="127"/>
      <c r="G43" s="127"/>
      <c r="H43" s="127"/>
      <c r="I43" s="56"/>
      <c r="J43" s="56"/>
      <c r="K43" s="56"/>
      <c r="L43" s="56"/>
      <c r="M43" s="56"/>
      <c r="N43" s="56"/>
      <c r="O43" s="56"/>
      <c r="P43" s="24"/>
      <c r="Q43" s="24"/>
      <c r="R43" s="24"/>
      <c r="S43" s="24"/>
      <c r="T43" s="24"/>
      <c r="U43" s="24"/>
      <c r="V43" s="24"/>
      <c r="W43" s="24"/>
      <c r="X43" s="24"/>
      <c r="Y43" s="24"/>
      <c r="Z43" s="24"/>
    </row>
    <row r="44" spans="2:26" x14ac:dyDescent="0.35">
      <c r="B44" s="127"/>
      <c r="C44" s="127"/>
      <c r="D44" s="127"/>
      <c r="E44" s="127"/>
      <c r="F44" s="127"/>
      <c r="G44" s="127"/>
      <c r="H44" s="127"/>
      <c r="I44" s="56"/>
      <c r="J44" s="56"/>
      <c r="K44" s="56"/>
      <c r="L44" s="56"/>
      <c r="M44" s="56"/>
      <c r="N44" s="56"/>
      <c r="O44" s="56"/>
      <c r="P44" s="24"/>
      <c r="Q44" s="24"/>
      <c r="R44" s="24"/>
      <c r="S44" s="24"/>
      <c r="T44" s="24"/>
      <c r="U44" s="24"/>
      <c r="V44" s="24"/>
      <c r="W44" s="24"/>
      <c r="X44" s="24"/>
      <c r="Y44" s="24"/>
      <c r="Z44" s="24"/>
    </row>
    <row r="45" spans="2:26" x14ac:dyDescent="0.35">
      <c r="B45" s="24"/>
      <c r="C45" s="24"/>
      <c r="D45" s="24"/>
      <c r="E45" s="24"/>
      <c r="F45" s="24"/>
      <c r="G45" s="24"/>
      <c r="H45" s="24"/>
      <c r="I45" s="56"/>
      <c r="J45" s="56"/>
      <c r="K45" s="56"/>
      <c r="L45" s="56"/>
      <c r="M45" s="56"/>
      <c r="N45" s="56"/>
      <c r="O45" s="56"/>
      <c r="P45" s="24"/>
      <c r="Q45" s="24"/>
      <c r="R45" s="24"/>
      <c r="S45" s="24"/>
      <c r="T45" s="24"/>
      <c r="U45" s="24"/>
      <c r="V45" s="24"/>
      <c r="W45" s="24"/>
      <c r="X45" s="24"/>
      <c r="Y45" s="24"/>
      <c r="Z45" s="24"/>
    </row>
    <row r="46" spans="2:26" x14ac:dyDescent="0.35">
      <c r="B46" s="24"/>
      <c r="C46" s="24"/>
      <c r="D46" s="24"/>
      <c r="E46" s="24"/>
      <c r="F46" s="24"/>
      <c r="G46" s="24"/>
      <c r="H46" s="24"/>
      <c r="I46" s="56"/>
      <c r="J46" s="56"/>
      <c r="K46" s="56"/>
      <c r="L46" s="56"/>
      <c r="M46" s="56"/>
      <c r="N46" s="56"/>
      <c r="O46" s="56"/>
      <c r="P46" s="24"/>
      <c r="Q46" s="24"/>
      <c r="R46" s="24"/>
      <c r="S46" s="24"/>
      <c r="T46" s="24"/>
      <c r="U46" s="24"/>
      <c r="V46" s="24"/>
      <c r="W46" s="24"/>
    </row>
    <row r="47" spans="2:26" x14ac:dyDescent="0.35">
      <c r="B47" s="24"/>
      <c r="C47" s="24"/>
      <c r="D47" s="24"/>
      <c r="E47" s="24"/>
      <c r="F47" s="24"/>
      <c r="G47" s="24"/>
      <c r="H47" s="24"/>
      <c r="I47" s="56"/>
      <c r="J47" s="56"/>
      <c r="K47" s="56"/>
      <c r="L47" s="56"/>
      <c r="M47" s="56"/>
      <c r="N47" s="56"/>
      <c r="O47" s="56"/>
      <c r="P47" s="24"/>
      <c r="Q47" s="24"/>
      <c r="R47" s="24"/>
      <c r="S47" s="24"/>
      <c r="T47" s="24"/>
      <c r="U47" s="24"/>
      <c r="V47" s="24"/>
      <c r="W47" s="24"/>
    </row>
    <row r="48" spans="2:26" x14ac:dyDescent="0.35">
      <c r="B48" s="24"/>
      <c r="C48" s="24"/>
      <c r="D48" s="24"/>
      <c r="E48" s="24"/>
      <c r="F48" s="24"/>
      <c r="G48" s="24"/>
      <c r="H48" s="24"/>
      <c r="I48" s="56"/>
      <c r="J48" s="56"/>
      <c r="K48" s="56"/>
      <c r="L48" s="56"/>
      <c r="M48" s="56"/>
      <c r="N48" s="56"/>
      <c r="O48" s="56"/>
      <c r="P48" s="24"/>
      <c r="Q48" s="24"/>
      <c r="R48" s="24"/>
      <c r="S48" s="24"/>
      <c r="T48" s="24"/>
      <c r="U48" s="24"/>
      <c r="V48" s="24"/>
      <c r="W48" s="24"/>
    </row>
    <row r="49" spans="2:23" x14ac:dyDescent="0.35">
      <c r="B49" s="24"/>
      <c r="C49" s="24"/>
      <c r="D49" s="24"/>
      <c r="E49" s="24"/>
      <c r="F49" s="24"/>
      <c r="G49" s="24"/>
      <c r="H49" s="24"/>
      <c r="I49" s="56"/>
      <c r="J49" s="56"/>
      <c r="K49" s="56"/>
      <c r="L49" s="56"/>
      <c r="M49" s="56"/>
      <c r="N49" s="56"/>
      <c r="O49" s="56"/>
      <c r="P49" s="24"/>
      <c r="Q49" s="24"/>
      <c r="R49" s="24"/>
      <c r="S49" s="24"/>
      <c r="T49" s="24"/>
      <c r="U49" s="24"/>
      <c r="V49" s="24"/>
      <c r="W49" s="24"/>
    </row>
    <row r="50" spans="2:23" x14ac:dyDescent="0.35">
      <c r="B50" s="24"/>
      <c r="C50" s="24"/>
      <c r="D50" s="24"/>
      <c r="E50" s="24"/>
      <c r="F50" s="24"/>
      <c r="G50" s="24"/>
      <c r="H50" s="24"/>
      <c r="I50" s="56"/>
      <c r="J50" s="56"/>
      <c r="K50" s="56"/>
      <c r="L50" s="56"/>
      <c r="M50" s="56"/>
      <c r="N50" s="56"/>
      <c r="O50" s="27"/>
      <c r="P50" s="24"/>
      <c r="Q50" s="24"/>
      <c r="R50" s="24"/>
      <c r="S50" s="24"/>
      <c r="T50" s="24"/>
      <c r="U50" s="24"/>
      <c r="V50" s="24"/>
      <c r="W50" s="24"/>
    </row>
    <row r="51" spans="2:23" x14ac:dyDescent="0.35">
      <c r="B51" s="24"/>
      <c r="C51" s="24"/>
      <c r="D51" s="24"/>
      <c r="E51" s="24"/>
      <c r="F51" s="24"/>
      <c r="G51" s="24"/>
      <c r="H51" s="24"/>
      <c r="I51" s="24"/>
      <c r="J51" s="24"/>
      <c r="K51" s="24"/>
      <c r="L51" s="24"/>
      <c r="M51" s="24"/>
      <c r="N51" s="24"/>
      <c r="O51" s="24"/>
      <c r="P51" s="24"/>
      <c r="Q51" s="24"/>
      <c r="R51" s="24"/>
      <c r="S51" s="24"/>
      <c r="T51" s="24"/>
      <c r="U51" s="24"/>
      <c r="V51" s="24"/>
      <c r="W51" s="24"/>
    </row>
    <row r="52" spans="2:23" x14ac:dyDescent="0.35">
      <c r="B52" s="24"/>
      <c r="C52" s="24"/>
      <c r="D52" s="24"/>
      <c r="E52" s="24"/>
      <c r="F52" s="24"/>
      <c r="G52" s="24"/>
      <c r="H52" s="24"/>
      <c r="I52" s="24"/>
      <c r="J52" s="24"/>
      <c r="K52" s="24"/>
      <c r="L52" s="24"/>
      <c r="M52" s="24"/>
      <c r="N52" s="24"/>
      <c r="O52" s="24"/>
      <c r="P52" s="24"/>
      <c r="Q52" s="24"/>
      <c r="R52" s="24"/>
      <c r="S52" s="24"/>
      <c r="T52" s="24"/>
      <c r="U52" s="24"/>
      <c r="V52" s="24"/>
      <c r="W52" s="24"/>
    </row>
    <row r="53" spans="2:23" x14ac:dyDescent="0.35">
      <c r="B53" s="24"/>
      <c r="C53" s="24"/>
      <c r="D53" s="24"/>
      <c r="E53" s="24"/>
      <c r="F53" s="24"/>
      <c r="G53" s="24"/>
      <c r="H53" s="24"/>
      <c r="I53" s="24"/>
      <c r="J53" s="24"/>
      <c r="K53" s="24"/>
      <c r="L53" s="24"/>
      <c r="M53" s="24"/>
      <c r="N53" s="24"/>
      <c r="O53" s="24"/>
      <c r="P53" s="24"/>
      <c r="Q53" s="24"/>
      <c r="R53" s="24"/>
      <c r="S53" s="24"/>
      <c r="T53" s="24"/>
      <c r="U53" s="24"/>
      <c r="V53" s="24"/>
      <c r="W53" s="24"/>
    </row>
    <row r="54" spans="2:23" x14ac:dyDescent="0.35">
      <c r="B54" s="24"/>
      <c r="C54" s="24"/>
      <c r="D54" s="24"/>
      <c r="E54" s="24"/>
      <c r="F54" s="24"/>
      <c r="G54" s="24"/>
      <c r="H54" s="24"/>
      <c r="I54" s="24"/>
      <c r="J54" s="24"/>
      <c r="K54" s="24"/>
      <c r="L54" s="24"/>
      <c r="M54" s="24"/>
      <c r="N54" s="24"/>
      <c r="O54" s="24"/>
      <c r="P54" s="24"/>
      <c r="Q54" s="24"/>
      <c r="R54" s="24"/>
      <c r="S54" s="24"/>
      <c r="T54" s="24"/>
      <c r="U54" s="24"/>
      <c r="V54" s="24"/>
      <c r="W54" s="24"/>
    </row>
    <row r="55" spans="2:23" x14ac:dyDescent="0.35">
      <c r="B55" s="24"/>
      <c r="C55" s="24"/>
      <c r="D55" s="24"/>
      <c r="E55" s="24"/>
      <c r="F55" s="24"/>
      <c r="G55" s="24"/>
      <c r="H55" s="24"/>
      <c r="I55" s="24"/>
      <c r="J55" s="24"/>
      <c r="K55" s="24"/>
      <c r="L55" s="24"/>
      <c r="M55" s="24"/>
      <c r="N55" s="24"/>
      <c r="O55" s="24"/>
      <c r="P55" s="24"/>
      <c r="Q55" s="24"/>
      <c r="R55" s="24"/>
      <c r="S55" s="24"/>
      <c r="T55" s="24"/>
      <c r="U55" s="24"/>
      <c r="V55" s="24"/>
      <c r="W55" s="24"/>
    </row>
    <row r="56" spans="2:23" x14ac:dyDescent="0.35">
      <c r="B56" s="24"/>
      <c r="C56" s="24"/>
      <c r="D56" s="24"/>
      <c r="E56" s="24"/>
      <c r="F56" s="24"/>
      <c r="G56" s="24"/>
      <c r="H56" s="24"/>
      <c r="I56" s="24"/>
      <c r="J56" s="24"/>
      <c r="K56" s="24"/>
      <c r="L56" s="24"/>
      <c r="M56" s="24"/>
      <c r="N56" s="24"/>
      <c r="O56" s="24"/>
      <c r="P56" s="24"/>
      <c r="Q56" s="24"/>
      <c r="R56" s="24"/>
      <c r="S56" s="24"/>
      <c r="T56" s="24"/>
      <c r="U56" s="24"/>
      <c r="V56" s="24"/>
      <c r="W56" s="24"/>
    </row>
    <row r="57" spans="2:23" x14ac:dyDescent="0.35">
      <c r="B57" s="24"/>
      <c r="C57" s="24"/>
      <c r="D57" s="24"/>
      <c r="E57" s="24"/>
      <c r="F57" s="24"/>
      <c r="G57" s="24"/>
      <c r="H57" s="24"/>
      <c r="I57" s="24"/>
      <c r="J57" s="24"/>
      <c r="K57" s="24"/>
      <c r="L57" s="24"/>
      <c r="M57" s="24"/>
      <c r="N57" s="24"/>
      <c r="O57" s="24"/>
      <c r="P57" s="24"/>
      <c r="Q57" s="24"/>
      <c r="R57" s="24"/>
      <c r="S57" s="24"/>
      <c r="T57" s="24"/>
      <c r="U57" s="24"/>
      <c r="V57" s="24"/>
      <c r="W57" s="24"/>
    </row>
    <row r="58" spans="2:23" x14ac:dyDescent="0.35">
      <c r="B58" s="24"/>
      <c r="C58" s="24"/>
      <c r="D58" s="24"/>
      <c r="E58" s="24"/>
      <c r="F58" s="24"/>
      <c r="G58" s="24"/>
      <c r="H58" s="24"/>
      <c r="I58" s="24"/>
      <c r="J58" s="24"/>
      <c r="K58" s="24"/>
      <c r="L58" s="24"/>
      <c r="M58" s="24"/>
      <c r="N58" s="24"/>
      <c r="O58" s="24"/>
      <c r="P58" s="24"/>
      <c r="Q58" s="24"/>
      <c r="R58" s="24"/>
      <c r="S58" s="24"/>
      <c r="T58" s="24"/>
      <c r="U58" s="24"/>
      <c r="V58" s="24"/>
      <c r="W58" s="24"/>
    </row>
    <row r="59" spans="2:23" x14ac:dyDescent="0.35">
      <c r="B59" s="24"/>
      <c r="C59" s="24"/>
      <c r="D59" s="24"/>
      <c r="E59" s="24"/>
      <c r="F59" s="24"/>
      <c r="G59" s="24"/>
      <c r="H59" s="24"/>
      <c r="I59" s="24"/>
      <c r="J59" s="24"/>
      <c r="K59" s="24"/>
      <c r="L59" s="24"/>
      <c r="M59" s="24"/>
      <c r="N59" s="24"/>
      <c r="O59" s="24"/>
      <c r="P59" s="24"/>
      <c r="Q59" s="24"/>
      <c r="R59" s="24"/>
      <c r="S59" s="24"/>
      <c r="T59" s="24"/>
      <c r="U59" s="24"/>
      <c r="V59" s="24"/>
      <c r="W59" s="24"/>
    </row>
    <row r="60" spans="2:23" x14ac:dyDescent="0.35">
      <c r="B60" s="24"/>
      <c r="C60" s="24"/>
      <c r="D60" s="24"/>
      <c r="E60" s="24"/>
      <c r="F60" s="24"/>
      <c r="G60" s="24"/>
      <c r="H60" s="24"/>
      <c r="I60" s="24"/>
      <c r="J60" s="24"/>
      <c r="K60" s="24"/>
      <c r="L60" s="24"/>
      <c r="M60" s="24"/>
      <c r="N60" s="24"/>
      <c r="O60" s="24"/>
      <c r="P60" s="24"/>
      <c r="Q60" s="24"/>
      <c r="R60" s="24"/>
      <c r="S60" s="24"/>
      <c r="T60" s="24"/>
      <c r="U60" s="24"/>
      <c r="V60" s="24"/>
      <c r="W60" s="24"/>
    </row>
    <row r="61" spans="2:23" x14ac:dyDescent="0.35">
      <c r="B61" s="24"/>
      <c r="C61" s="24"/>
      <c r="D61" s="24"/>
      <c r="E61" s="24"/>
      <c r="F61" s="24"/>
      <c r="G61" s="24"/>
      <c r="H61" s="24"/>
      <c r="I61" s="24"/>
      <c r="J61" s="24"/>
      <c r="K61" s="24"/>
      <c r="L61" s="24"/>
      <c r="M61" s="24"/>
      <c r="N61" s="24"/>
      <c r="O61" s="24"/>
      <c r="P61" s="24"/>
      <c r="Q61" s="24"/>
      <c r="R61" s="24"/>
      <c r="S61" s="24"/>
      <c r="T61" s="24"/>
      <c r="U61" s="24"/>
      <c r="V61" s="24"/>
      <c r="W61" s="24"/>
    </row>
    <row r="62" spans="2:23" x14ac:dyDescent="0.35">
      <c r="B62" s="24"/>
      <c r="C62" s="24"/>
      <c r="D62" s="24"/>
      <c r="E62" s="24"/>
      <c r="F62" s="24"/>
      <c r="G62" s="24"/>
      <c r="H62" s="24"/>
      <c r="I62" s="24"/>
      <c r="J62" s="24"/>
      <c r="K62" s="24"/>
      <c r="L62" s="24"/>
      <c r="M62" s="24"/>
      <c r="N62" s="24"/>
      <c r="O62" s="24"/>
      <c r="P62" s="24"/>
      <c r="Q62" s="24"/>
      <c r="R62" s="24"/>
      <c r="S62" s="24"/>
      <c r="T62" s="24"/>
      <c r="U62" s="24"/>
      <c r="V62" s="24"/>
      <c r="W62" s="24"/>
    </row>
    <row r="63" spans="2:23" x14ac:dyDescent="0.35">
      <c r="B63" s="24"/>
      <c r="C63" s="24"/>
      <c r="D63" s="24"/>
      <c r="E63" s="24"/>
      <c r="F63" s="24"/>
      <c r="G63" s="24"/>
      <c r="H63" s="24"/>
      <c r="I63" s="24"/>
      <c r="J63" s="24"/>
      <c r="K63" s="24"/>
      <c r="L63" s="24"/>
      <c r="M63" s="24"/>
      <c r="N63" s="24"/>
      <c r="O63" s="24"/>
      <c r="P63" s="24"/>
      <c r="Q63" s="24"/>
      <c r="R63" s="24"/>
      <c r="S63" s="24"/>
      <c r="T63" s="24"/>
      <c r="U63" s="24"/>
      <c r="V63" s="24"/>
      <c r="W63" s="24"/>
    </row>
    <row r="64" spans="2:23" x14ac:dyDescent="0.35">
      <c r="B64" s="24"/>
      <c r="C64" s="24"/>
      <c r="D64" s="24"/>
      <c r="E64" s="24"/>
      <c r="F64" s="24"/>
      <c r="G64" s="24"/>
      <c r="H64" s="24"/>
      <c r="I64" s="24"/>
      <c r="J64" s="24"/>
      <c r="K64" s="24"/>
      <c r="L64" s="24"/>
      <c r="M64" s="24"/>
      <c r="N64" s="24"/>
      <c r="O64" s="24"/>
      <c r="P64" s="24"/>
      <c r="Q64" s="24"/>
      <c r="R64" s="24"/>
      <c r="S64" s="24"/>
      <c r="T64" s="24"/>
      <c r="U64" s="24"/>
      <c r="V64" s="24"/>
      <c r="W64" s="24"/>
    </row>
    <row r="65" spans="2:23" x14ac:dyDescent="0.35">
      <c r="B65" s="24"/>
      <c r="C65" s="24"/>
      <c r="D65" s="24"/>
      <c r="E65" s="24"/>
      <c r="F65" s="24"/>
      <c r="G65" s="24"/>
      <c r="H65" s="24"/>
      <c r="I65" s="24"/>
      <c r="J65" s="24"/>
      <c r="K65" s="24"/>
      <c r="L65" s="24"/>
      <c r="M65" s="24"/>
      <c r="N65" s="24"/>
      <c r="O65" s="24"/>
      <c r="P65" s="24"/>
      <c r="Q65" s="24"/>
      <c r="R65" s="24"/>
      <c r="S65" s="24"/>
      <c r="T65" s="24"/>
      <c r="U65" s="24"/>
      <c r="V65" s="24"/>
      <c r="W65" s="24"/>
    </row>
    <row r="66" spans="2:23" x14ac:dyDescent="0.35">
      <c r="B66" s="24"/>
      <c r="C66" s="24"/>
      <c r="D66" s="24"/>
      <c r="E66" s="24"/>
      <c r="F66" s="24"/>
      <c r="G66" s="24"/>
      <c r="H66" s="24"/>
      <c r="I66" s="24"/>
      <c r="J66" s="24"/>
      <c r="K66" s="24"/>
      <c r="L66" s="24"/>
      <c r="M66" s="24"/>
      <c r="N66" s="24"/>
      <c r="O66" s="24"/>
      <c r="P66" s="24"/>
      <c r="Q66" s="24"/>
      <c r="R66" s="24"/>
      <c r="S66" s="24"/>
      <c r="T66" s="24"/>
      <c r="U66" s="24"/>
      <c r="V66" s="24"/>
      <c r="W66" s="24"/>
    </row>
    <row r="67" spans="2:23" x14ac:dyDescent="0.35">
      <c r="B67" s="24"/>
      <c r="C67" s="24"/>
      <c r="D67" s="24"/>
      <c r="E67" s="24"/>
      <c r="F67" s="24"/>
      <c r="G67" s="24"/>
      <c r="H67" s="24"/>
      <c r="I67" s="24"/>
      <c r="J67" s="24"/>
      <c r="K67" s="24"/>
      <c r="L67" s="24"/>
      <c r="M67" s="24"/>
      <c r="N67" s="24"/>
      <c r="O67" s="24"/>
      <c r="P67" s="24"/>
      <c r="Q67" s="24"/>
      <c r="R67" s="24"/>
      <c r="S67" s="24"/>
      <c r="T67" s="24"/>
      <c r="U67" s="24"/>
      <c r="V67" s="24"/>
      <c r="W67" s="24"/>
    </row>
    <row r="68" spans="2:23" x14ac:dyDescent="0.35">
      <c r="B68" s="24"/>
      <c r="C68" s="24"/>
      <c r="D68" s="24"/>
      <c r="E68" s="24"/>
      <c r="F68" s="24"/>
      <c r="G68" s="24"/>
      <c r="H68" s="24"/>
      <c r="I68" s="24"/>
      <c r="J68" s="24"/>
      <c r="K68" s="24"/>
      <c r="L68" s="24"/>
      <c r="M68" s="24"/>
      <c r="N68" s="24"/>
      <c r="O68" s="24"/>
      <c r="P68" s="24"/>
      <c r="Q68" s="24"/>
      <c r="R68" s="24"/>
      <c r="S68" s="24"/>
      <c r="T68" s="24"/>
      <c r="U68" s="24"/>
      <c r="V68" s="24"/>
      <c r="W68" s="24"/>
    </row>
    <row r="69" spans="2:23" x14ac:dyDescent="0.35">
      <c r="B69" s="24"/>
      <c r="C69" s="24"/>
      <c r="D69" s="24"/>
      <c r="E69" s="24"/>
      <c r="F69" s="24"/>
      <c r="G69" s="24"/>
      <c r="H69" s="24"/>
      <c r="I69" s="24"/>
      <c r="J69" s="24"/>
      <c r="K69" s="24"/>
      <c r="L69" s="24"/>
      <c r="M69" s="24"/>
      <c r="N69" s="24"/>
      <c r="O69" s="24"/>
      <c r="P69" s="24"/>
      <c r="Q69" s="24"/>
      <c r="R69" s="24"/>
      <c r="S69" s="24"/>
      <c r="T69" s="24"/>
      <c r="U69" s="24"/>
      <c r="V69" s="24"/>
      <c r="W69" s="24"/>
    </row>
    <row r="70" spans="2:23" x14ac:dyDescent="0.35">
      <c r="B70" s="24"/>
      <c r="C70" s="24"/>
      <c r="D70" s="24"/>
      <c r="E70" s="24"/>
      <c r="F70" s="24"/>
      <c r="G70" s="24"/>
      <c r="H70" s="24"/>
      <c r="I70" s="24"/>
      <c r="J70" s="24"/>
      <c r="K70" s="24"/>
      <c r="L70" s="24"/>
      <c r="M70" s="24"/>
      <c r="N70" s="24"/>
      <c r="O70" s="24"/>
      <c r="P70" s="24"/>
      <c r="Q70" s="24"/>
      <c r="R70" s="24"/>
      <c r="S70" s="24"/>
      <c r="T70" s="24"/>
      <c r="U70" s="24"/>
      <c r="V70" s="24"/>
      <c r="W70" s="24"/>
    </row>
    <row r="71" spans="2:23" x14ac:dyDescent="0.35">
      <c r="B71" s="24"/>
      <c r="C71" s="24"/>
      <c r="D71" s="24"/>
      <c r="E71" s="24"/>
      <c r="F71" s="24"/>
      <c r="G71" s="24"/>
      <c r="H71" s="24"/>
      <c r="I71" s="24"/>
      <c r="J71" s="24"/>
      <c r="K71" s="24"/>
      <c r="L71" s="24"/>
      <c r="M71" s="24"/>
      <c r="N71" s="24"/>
      <c r="O71" s="24"/>
      <c r="P71" s="24"/>
      <c r="Q71" s="24"/>
      <c r="R71" s="24"/>
      <c r="S71" s="24"/>
      <c r="T71" s="24"/>
      <c r="U71" s="24"/>
      <c r="V71" s="24"/>
      <c r="W71" s="24"/>
    </row>
    <row r="72" spans="2:23" x14ac:dyDescent="0.35">
      <c r="B72" s="24"/>
      <c r="C72" s="24"/>
      <c r="D72" s="24"/>
      <c r="E72" s="24"/>
      <c r="F72" s="24"/>
      <c r="G72" s="24"/>
      <c r="H72" s="24"/>
      <c r="I72" s="24"/>
      <c r="J72" s="24"/>
      <c r="K72" s="24"/>
      <c r="L72" s="24"/>
      <c r="M72" s="24"/>
      <c r="N72" s="24"/>
      <c r="O72" s="24"/>
      <c r="P72" s="24"/>
      <c r="Q72" s="24"/>
      <c r="R72" s="24"/>
      <c r="S72" s="24"/>
      <c r="T72" s="24"/>
      <c r="U72" s="24"/>
      <c r="V72" s="24"/>
      <c r="W72" s="24"/>
    </row>
    <row r="73" spans="2:23" x14ac:dyDescent="0.35">
      <c r="B73" s="24"/>
      <c r="C73" s="24"/>
      <c r="D73" s="24"/>
      <c r="E73" s="24"/>
      <c r="F73" s="24"/>
      <c r="G73" s="24"/>
      <c r="H73" s="24"/>
      <c r="I73" s="24"/>
      <c r="J73" s="24"/>
      <c r="K73" s="24"/>
      <c r="L73" s="24"/>
      <c r="M73" s="24"/>
      <c r="N73" s="24"/>
      <c r="O73" s="24"/>
      <c r="P73" s="24"/>
      <c r="Q73" s="24"/>
      <c r="R73" s="24"/>
      <c r="S73" s="24"/>
      <c r="T73" s="24"/>
      <c r="U73" s="24"/>
      <c r="V73" s="24"/>
      <c r="W73" s="24"/>
    </row>
    <row r="74" spans="2:23" x14ac:dyDescent="0.35">
      <c r="B74" s="24"/>
      <c r="C74" s="24"/>
      <c r="D74" s="24"/>
      <c r="E74" s="24"/>
      <c r="F74" s="24"/>
      <c r="G74" s="24"/>
      <c r="H74" s="24"/>
      <c r="I74" s="24"/>
      <c r="J74" s="24"/>
      <c r="K74" s="24"/>
      <c r="L74" s="24"/>
      <c r="M74" s="24"/>
      <c r="N74" s="24"/>
      <c r="O74" s="24"/>
      <c r="P74" s="24"/>
      <c r="Q74" s="24"/>
      <c r="R74" s="24"/>
      <c r="S74" s="24"/>
      <c r="T74" s="24"/>
      <c r="U74" s="24"/>
      <c r="V74" s="24"/>
      <c r="W74" s="24"/>
    </row>
    <row r="75" spans="2:23" x14ac:dyDescent="0.35">
      <c r="B75" s="24"/>
      <c r="C75" s="24"/>
      <c r="D75" s="24"/>
      <c r="E75" s="24"/>
      <c r="F75" s="24"/>
      <c r="G75" s="24"/>
      <c r="H75" s="24"/>
      <c r="I75" s="24"/>
      <c r="J75" s="24"/>
      <c r="K75" s="24"/>
      <c r="L75" s="24"/>
      <c r="M75" s="24"/>
      <c r="N75" s="24"/>
      <c r="O75" s="24"/>
      <c r="P75" s="24"/>
      <c r="Q75" s="24"/>
      <c r="R75" s="24"/>
      <c r="S75" s="24"/>
      <c r="T75" s="24"/>
      <c r="U75" s="24"/>
      <c r="V75" s="24"/>
      <c r="W75" s="24"/>
    </row>
    <row r="76" spans="2:23" x14ac:dyDescent="0.35">
      <c r="B76" s="24"/>
      <c r="C76" s="24"/>
      <c r="D76" s="24"/>
      <c r="E76" s="24"/>
      <c r="F76" s="24"/>
      <c r="G76" s="24"/>
      <c r="H76" s="24"/>
      <c r="I76" s="24"/>
      <c r="J76" s="24"/>
      <c r="K76" s="24"/>
      <c r="L76" s="24"/>
      <c r="M76" s="24"/>
      <c r="N76" s="24"/>
      <c r="O76" s="24"/>
      <c r="P76" s="24"/>
      <c r="Q76" s="24"/>
      <c r="R76" s="24"/>
      <c r="S76" s="24"/>
      <c r="T76" s="24"/>
      <c r="U76" s="24"/>
      <c r="V76" s="24"/>
      <c r="W76" s="24"/>
    </row>
    <row r="77" spans="2:23" x14ac:dyDescent="0.35">
      <c r="B77" s="24"/>
      <c r="C77" s="24"/>
      <c r="D77" s="24"/>
      <c r="E77" s="24"/>
      <c r="F77" s="24"/>
      <c r="G77" s="24"/>
      <c r="H77" s="24"/>
      <c r="I77" s="24"/>
      <c r="J77" s="24"/>
      <c r="K77" s="24"/>
      <c r="L77" s="24"/>
      <c r="M77" s="24"/>
      <c r="N77" s="24"/>
      <c r="O77" s="24"/>
      <c r="P77" s="24"/>
      <c r="Q77" s="24"/>
      <c r="R77" s="24"/>
      <c r="S77" s="24"/>
      <c r="T77" s="24"/>
      <c r="U77" s="24"/>
      <c r="V77" s="24"/>
      <c r="W77" s="24"/>
    </row>
    <row r="78" spans="2:23" x14ac:dyDescent="0.35">
      <c r="B78" s="24"/>
      <c r="C78" s="24"/>
      <c r="D78" s="24"/>
      <c r="E78" s="24"/>
      <c r="F78" s="24"/>
      <c r="G78" s="24"/>
      <c r="H78" s="24"/>
      <c r="I78" s="24"/>
      <c r="J78" s="24"/>
      <c r="K78" s="24"/>
      <c r="L78" s="24"/>
      <c r="M78" s="24"/>
      <c r="N78" s="24"/>
      <c r="O78" s="24"/>
      <c r="P78" s="24"/>
      <c r="Q78" s="24"/>
      <c r="R78" s="24"/>
      <c r="S78" s="24"/>
      <c r="T78" s="24"/>
      <c r="U78" s="24"/>
      <c r="V78" s="24"/>
      <c r="W78" s="24"/>
    </row>
    <row r="79" spans="2:23" x14ac:dyDescent="0.35">
      <c r="B79" s="24"/>
      <c r="C79" s="24"/>
      <c r="D79" s="24"/>
      <c r="E79" s="24"/>
      <c r="F79" s="24"/>
      <c r="G79" s="24"/>
      <c r="H79" s="24"/>
      <c r="I79" s="24"/>
      <c r="J79" s="24"/>
      <c r="K79" s="24"/>
      <c r="L79" s="24"/>
      <c r="M79" s="24"/>
      <c r="N79" s="24"/>
      <c r="O79" s="24"/>
      <c r="P79" s="24"/>
      <c r="Q79" s="24"/>
      <c r="R79" s="24"/>
      <c r="S79" s="24"/>
      <c r="T79" s="24"/>
      <c r="U79" s="24"/>
      <c r="V79" s="24"/>
      <c r="W79" s="24"/>
    </row>
    <row r="80" spans="2:23" x14ac:dyDescent="0.35">
      <c r="B80" s="24"/>
      <c r="C80" s="24"/>
      <c r="D80" s="24"/>
      <c r="E80" s="24"/>
      <c r="F80" s="24"/>
      <c r="G80" s="24"/>
      <c r="H80" s="24"/>
      <c r="I80" s="24"/>
      <c r="J80" s="24"/>
      <c r="K80" s="24"/>
      <c r="L80" s="24"/>
      <c r="M80" s="24"/>
      <c r="N80" s="24"/>
      <c r="O80" s="24"/>
      <c r="P80" s="24"/>
      <c r="Q80" s="24"/>
      <c r="R80" s="24"/>
      <c r="S80" s="24"/>
      <c r="T80" s="24"/>
      <c r="U80" s="24"/>
      <c r="V80" s="24"/>
      <c r="W80" s="24"/>
    </row>
    <row r="81" spans="2:23" x14ac:dyDescent="0.35">
      <c r="B81" s="24"/>
      <c r="C81" s="24"/>
      <c r="D81" s="24"/>
      <c r="E81" s="24"/>
      <c r="F81" s="24"/>
      <c r="G81" s="24"/>
      <c r="H81" s="24"/>
      <c r="I81" s="24"/>
      <c r="J81" s="24"/>
      <c r="K81" s="24"/>
      <c r="L81" s="24"/>
      <c r="M81" s="24"/>
      <c r="N81" s="24"/>
      <c r="O81" s="24"/>
      <c r="P81" s="24"/>
      <c r="Q81" s="24"/>
      <c r="R81" s="24"/>
      <c r="S81" s="24"/>
      <c r="T81" s="24"/>
      <c r="U81" s="24"/>
      <c r="V81" s="24"/>
      <c r="W81" s="24"/>
    </row>
    <row r="82" spans="2:23" x14ac:dyDescent="0.35">
      <c r="B82" s="24"/>
      <c r="C82" s="24"/>
      <c r="D82" s="24"/>
      <c r="E82" s="24"/>
      <c r="F82" s="24"/>
      <c r="G82" s="24"/>
      <c r="H82" s="24"/>
      <c r="I82" s="24"/>
      <c r="J82" s="24"/>
      <c r="K82" s="24"/>
      <c r="L82" s="24"/>
      <c r="M82" s="24"/>
      <c r="N82" s="24"/>
      <c r="O82" s="24"/>
      <c r="P82" s="24"/>
      <c r="Q82" s="24"/>
      <c r="R82" s="24"/>
      <c r="S82" s="24"/>
      <c r="T82" s="24"/>
      <c r="U82" s="24"/>
      <c r="V82" s="24"/>
      <c r="W82" s="24"/>
    </row>
    <row r="83" spans="2:23" x14ac:dyDescent="0.35">
      <c r="B83" s="24"/>
      <c r="C83" s="24"/>
      <c r="D83" s="24"/>
      <c r="E83" s="24"/>
      <c r="F83" s="24"/>
      <c r="G83" s="24"/>
      <c r="H83" s="24"/>
      <c r="I83" s="24"/>
      <c r="J83" s="24"/>
      <c r="K83" s="24"/>
      <c r="L83" s="24"/>
      <c r="M83" s="24"/>
      <c r="N83" s="24"/>
      <c r="O83" s="24"/>
      <c r="P83" s="24"/>
      <c r="Q83" s="24"/>
      <c r="R83" s="24"/>
      <c r="S83" s="24"/>
      <c r="T83" s="24"/>
      <c r="U83" s="24"/>
      <c r="V83" s="24"/>
      <c r="W83" s="24"/>
    </row>
    <row r="84" spans="2:23" x14ac:dyDescent="0.35">
      <c r="B84" s="24"/>
      <c r="C84" s="24"/>
      <c r="D84" s="24"/>
      <c r="E84" s="24"/>
      <c r="F84" s="24"/>
      <c r="G84" s="24"/>
      <c r="H84" s="24"/>
      <c r="I84" s="24"/>
      <c r="J84" s="24"/>
      <c r="K84" s="24"/>
      <c r="L84" s="24"/>
      <c r="M84" s="24"/>
      <c r="N84" s="24"/>
      <c r="O84" s="24"/>
      <c r="P84" s="24"/>
      <c r="Q84" s="24"/>
      <c r="R84" s="24"/>
      <c r="S84" s="24"/>
      <c r="T84" s="24"/>
      <c r="U84" s="24"/>
      <c r="V84" s="24"/>
      <c r="W84" s="24"/>
    </row>
    <row r="85" spans="2:23" x14ac:dyDescent="0.35">
      <c r="B85" s="24"/>
      <c r="C85" s="24"/>
      <c r="D85" s="24"/>
      <c r="E85" s="24"/>
      <c r="F85" s="24"/>
      <c r="G85" s="24"/>
      <c r="H85" s="24"/>
      <c r="I85" s="24"/>
      <c r="J85" s="24"/>
      <c r="K85" s="24"/>
      <c r="L85" s="24"/>
      <c r="M85" s="24"/>
      <c r="N85" s="24"/>
      <c r="O85" s="24"/>
      <c r="P85" s="24"/>
      <c r="Q85" s="24"/>
      <c r="R85" s="24"/>
      <c r="S85" s="24"/>
      <c r="T85" s="24"/>
      <c r="U85" s="24"/>
      <c r="V85" s="24"/>
      <c r="W85" s="24"/>
    </row>
    <row r="86" spans="2:23" x14ac:dyDescent="0.35">
      <c r="B86" s="24"/>
      <c r="C86" s="24"/>
      <c r="D86" s="24"/>
      <c r="E86" s="24"/>
      <c r="F86" s="24"/>
      <c r="G86" s="24"/>
      <c r="H86" s="24"/>
      <c r="I86" s="24"/>
      <c r="J86" s="24"/>
      <c r="K86" s="24"/>
      <c r="L86" s="24"/>
      <c r="M86" s="24"/>
      <c r="N86" s="24"/>
      <c r="O86" s="24"/>
      <c r="P86" s="24"/>
      <c r="Q86" s="24"/>
      <c r="R86" s="24"/>
      <c r="S86" s="24"/>
      <c r="T86" s="24"/>
      <c r="U86" s="24"/>
      <c r="V86" s="24"/>
      <c r="W86" s="24"/>
    </row>
    <row r="87" spans="2:23" x14ac:dyDescent="0.35">
      <c r="B87" s="24"/>
      <c r="C87" s="24"/>
      <c r="D87" s="24"/>
      <c r="E87" s="24"/>
      <c r="F87" s="24"/>
      <c r="G87" s="24"/>
      <c r="H87" s="24"/>
      <c r="I87" s="24"/>
      <c r="J87" s="24"/>
      <c r="K87" s="24"/>
      <c r="L87" s="24"/>
      <c r="M87" s="24"/>
      <c r="N87" s="24"/>
      <c r="O87" s="24"/>
      <c r="P87" s="24"/>
      <c r="Q87" s="24"/>
      <c r="R87" s="24"/>
      <c r="S87" s="24"/>
      <c r="T87" s="24"/>
      <c r="U87" s="24"/>
      <c r="V87" s="24"/>
      <c r="W87" s="24"/>
    </row>
    <row r="88" spans="2:23" x14ac:dyDescent="0.35">
      <c r="B88" s="24"/>
      <c r="C88" s="24"/>
      <c r="D88" s="24"/>
      <c r="E88" s="24"/>
      <c r="F88" s="24"/>
      <c r="G88" s="24"/>
      <c r="H88" s="24"/>
      <c r="I88" s="24"/>
      <c r="J88" s="24"/>
      <c r="K88" s="24"/>
      <c r="L88" s="24"/>
      <c r="M88" s="24"/>
      <c r="N88" s="24"/>
      <c r="O88" s="24"/>
      <c r="P88" s="24"/>
      <c r="Q88" s="24"/>
      <c r="R88" s="24"/>
      <c r="S88" s="24"/>
      <c r="T88" s="24"/>
      <c r="U88" s="24"/>
      <c r="V88" s="24"/>
      <c r="W88" s="24"/>
    </row>
    <row r="89" spans="2:23" x14ac:dyDescent="0.35">
      <c r="B89" s="24"/>
      <c r="C89" s="24"/>
      <c r="D89" s="24"/>
      <c r="E89" s="24"/>
      <c r="F89" s="24"/>
      <c r="G89" s="24"/>
      <c r="H89" s="24"/>
      <c r="I89" s="24"/>
      <c r="J89" s="24"/>
      <c r="K89" s="24"/>
      <c r="L89" s="24"/>
      <c r="M89" s="24"/>
      <c r="N89" s="24"/>
      <c r="O89" s="24"/>
      <c r="P89" s="24"/>
      <c r="Q89" s="24"/>
      <c r="R89" s="24"/>
      <c r="S89" s="24"/>
      <c r="T89" s="24"/>
      <c r="U89" s="24"/>
      <c r="V89" s="24"/>
      <c r="W89" s="24"/>
    </row>
  </sheetData>
  <sheetProtection sheet="1" objects="1" scenarios="1"/>
  <mergeCells count="15">
    <mergeCell ref="B37:H44"/>
    <mergeCell ref="C17:K17"/>
    <mergeCell ref="C19:K19"/>
    <mergeCell ref="C20:K20"/>
    <mergeCell ref="C2:K2"/>
    <mergeCell ref="C3:K3"/>
    <mergeCell ref="C4:K4"/>
    <mergeCell ref="C5:K5"/>
    <mergeCell ref="C6:K6"/>
    <mergeCell ref="C7:K7"/>
    <mergeCell ref="C8:K8"/>
    <mergeCell ref="C9:K9"/>
    <mergeCell ref="C10:K10"/>
    <mergeCell ref="C15:K15"/>
    <mergeCell ref="C16:K16"/>
  </mergeCells>
  <conditionalFormatting sqref="K26">
    <cfRule type="cellIs" dxfId="7" priority="1" operator="lessThan">
      <formula>0</formula>
    </cfRule>
    <cfRule type="cellIs" dxfId="6"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2F6DF-F3BF-4E53-8F5B-72BF46376DEC}">
  <dimension ref="A1:Z88"/>
  <sheetViews>
    <sheetView topLeftCell="A18" zoomScale="120" zoomScaleNormal="120" workbookViewId="0">
      <selection activeCell="K32" sqref="K32"/>
    </sheetView>
  </sheetViews>
  <sheetFormatPr defaultColWidth="8.7265625" defaultRowHeight="14.5" x14ac:dyDescent="0.35"/>
  <cols>
    <col min="1" max="1" width="8.7265625" style="24"/>
    <col min="2" max="2" width="12.81640625" style="114" customWidth="1"/>
    <col min="3" max="3" width="15.81640625" style="1" customWidth="1"/>
    <col min="4" max="4" width="19" style="1" customWidth="1"/>
    <col min="5" max="5" width="16.453125" style="1" customWidth="1"/>
    <col min="6" max="7" width="13.81640625" style="1" customWidth="1"/>
    <col min="8" max="8" width="14.1796875" style="1" customWidth="1"/>
    <col min="9" max="9" width="14" style="1" customWidth="1"/>
    <col min="10" max="10" width="17.26953125" style="1" customWidth="1"/>
    <col min="11" max="11" width="20.1796875" style="1" customWidth="1"/>
    <col min="12" max="12" width="8.7265625" style="1"/>
    <col min="13" max="13" width="13.81640625" style="1" customWidth="1"/>
    <col min="14" max="16384" width="8.7265625" style="1"/>
  </cols>
  <sheetData>
    <row r="1" spans="1:12" s="24" customFormat="1" x14ac:dyDescent="0.35">
      <c r="B1" s="84"/>
    </row>
    <row r="2" spans="1:12" s="24" customFormat="1" x14ac:dyDescent="0.35">
      <c r="A2" s="155" t="b">
        <v>0</v>
      </c>
      <c r="B2" s="156"/>
      <c r="C2" s="150" t="s">
        <v>0</v>
      </c>
      <c r="D2" s="151"/>
      <c r="E2" s="151"/>
      <c r="F2" s="151"/>
      <c r="G2" s="151"/>
      <c r="H2" s="151"/>
      <c r="I2" s="151"/>
      <c r="J2" s="151"/>
      <c r="K2" s="152"/>
      <c r="L2" s="73"/>
    </row>
    <row r="3" spans="1:12" s="24" customFormat="1" ht="14.5" customHeight="1" x14ac:dyDescent="0.35">
      <c r="A3" s="155"/>
      <c r="B3" s="156"/>
      <c r="C3" s="161" t="s">
        <v>1</v>
      </c>
      <c r="D3" s="162"/>
      <c r="E3" s="162"/>
      <c r="F3" s="162"/>
      <c r="G3" s="162"/>
      <c r="H3" s="162"/>
      <c r="I3" s="162"/>
      <c r="J3" s="162"/>
      <c r="K3" s="163"/>
      <c r="L3" s="73"/>
    </row>
    <row r="4" spans="1:12" s="24" customFormat="1" ht="24" customHeight="1" x14ac:dyDescent="0.35">
      <c r="A4" s="155"/>
      <c r="B4" s="156"/>
      <c r="C4" s="161" t="s">
        <v>2</v>
      </c>
      <c r="D4" s="162"/>
      <c r="E4" s="162"/>
      <c r="F4" s="162"/>
      <c r="G4" s="162"/>
      <c r="H4" s="162"/>
      <c r="I4" s="162"/>
      <c r="J4" s="162"/>
      <c r="K4" s="163"/>
      <c r="L4" s="73"/>
    </row>
    <row r="5" spans="1:12" s="24" customFormat="1" ht="14.5" customHeight="1" x14ac:dyDescent="0.35">
      <c r="A5" s="155"/>
      <c r="B5" s="156"/>
      <c r="C5" s="161" t="s">
        <v>3</v>
      </c>
      <c r="D5" s="162"/>
      <c r="E5" s="162"/>
      <c r="F5" s="162"/>
      <c r="G5" s="162"/>
      <c r="H5" s="162"/>
      <c r="I5" s="162"/>
      <c r="J5" s="162"/>
      <c r="K5" s="163"/>
      <c r="L5" s="73"/>
    </row>
    <row r="6" spans="1:12" s="24" customFormat="1" ht="14.5" customHeight="1" x14ac:dyDescent="0.35">
      <c r="A6" s="155"/>
      <c r="B6" s="156"/>
      <c r="C6" s="161" t="s">
        <v>4</v>
      </c>
      <c r="D6" s="162"/>
      <c r="E6" s="162"/>
      <c r="F6" s="162"/>
      <c r="G6" s="162"/>
      <c r="H6" s="162"/>
      <c r="I6" s="162"/>
      <c r="J6" s="162"/>
      <c r="K6" s="163"/>
      <c r="L6" s="73"/>
    </row>
    <row r="7" spans="1:12" s="24" customFormat="1" ht="14.5" customHeight="1" x14ac:dyDescent="0.35">
      <c r="A7" s="155"/>
      <c r="B7" s="156"/>
      <c r="C7" s="161" t="s">
        <v>5</v>
      </c>
      <c r="D7" s="162"/>
      <c r="E7" s="162"/>
      <c r="F7" s="162"/>
      <c r="G7" s="162"/>
      <c r="H7" s="162"/>
      <c r="I7" s="162"/>
      <c r="J7" s="162"/>
      <c r="K7" s="163"/>
      <c r="L7" s="73"/>
    </row>
    <row r="8" spans="1:12" s="24" customFormat="1" ht="14.5" customHeight="1" x14ac:dyDescent="0.35">
      <c r="A8" s="155"/>
      <c r="B8" s="156"/>
      <c r="C8" s="161" t="s">
        <v>6</v>
      </c>
      <c r="D8" s="162"/>
      <c r="E8" s="162"/>
      <c r="F8" s="162"/>
      <c r="G8" s="162"/>
      <c r="H8" s="162"/>
      <c r="I8" s="162"/>
      <c r="J8" s="162"/>
      <c r="K8" s="163"/>
      <c r="L8" s="73"/>
    </row>
    <row r="9" spans="1:12" s="24" customFormat="1" ht="22" customHeight="1" x14ac:dyDescent="0.35">
      <c r="A9" s="155"/>
      <c r="B9" s="156"/>
      <c r="C9" s="87" t="s">
        <v>31</v>
      </c>
      <c r="D9" s="85"/>
      <c r="E9" s="85"/>
      <c r="F9" s="85"/>
      <c r="G9" s="85"/>
      <c r="H9" s="85"/>
      <c r="I9" s="85"/>
      <c r="J9" s="85"/>
      <c r="K9" s="86"/>
      <c r="L9" s="73"/>
    </row>
    <row r="10" spans="1:12" s="24" customFormat="1" ht="14.5" customHeight="1" x14ac:dyDescent="0.35">
      <c r="A10" s="155"/>
      <c r="B10" s="156"/>
      <c r="C10" s="170" t="s">
        <v>32</v>
      </c>
      <c r="D10" s="171"/>
      <c r="E10" s="171"/>
      <c r="F10" s="171"/>
      <c r="G10" s="171"/>
      <c r="H10" s="171"/>
      <c r="I10" s="171"/>
      <c r="J10" s="171"/>
      <c r="K10" s="172"/>
      <c r="L10" s="73"/>
    </row>
    <row r="11" spans="1:12" s="24" customFormat="1" ht="14.5" hidden="1" customHeight="1" x14ac:dyDescent="0.35">
      <c r="A11" s="155"/>
      <c r="B11" s="156"/>
      <c r="C11" s="161" t="s">
        <v>8</v>
      </c>
      <c r="D11" s="162"/>
      <c r="E11" s="162"/>
      <c r="F11" s="162"/>
      <c r="G11" s="162"/>
      <c r="H11" s="162"/>
      <c r="I11" s="162"/>
      <c r="J11" s="162"/>
      <c r="K11" s="163"/>
      <c r="L11" s="73"/>
    </row>
    <row r="12" spans="1:12" s="24" customFormat="1" ht="14.5" hidden="1" customHeight="1" x14ac:dyDescent="0.35">
      <c r="A12" s="155"/>
      <c r="B12" s="155"/>
      <c r="C12" s="77"/>
      <c r="D12" s="77"/>
      <c r="E12" s="77"/>
      <c r="F12" s="77"/>
      <c r="G12" s="77"/>
      <c r="H12" s="77"/>
      <c r="I12" s="77"/>
      <c r="J12" s="77"/>
      <c r="K12" s="77"/>
      <c r="L12" s="73"/>
    </row>
    <row r="13" spans="1:12" s="24" customFormat="1" x14ac:dyDescent="0.35">
      <c r="A13" s="155"/>
      <c r="B13" s="155"/>
      <c r="C13" s="77"/>
      <c r="D13" s="78"/>
      <c r="E13" s="77"/>
      <c r="F13" s="77"/>
      <c r="G13" s="77"/>
      <c r="H13" s="77"/>
      <c r="I13" s="77"/>
      <c r="J13" s="77"/>
      <c r="K13" s="77"/>
      <c r="L13" s="73"/>
    </row>
    <row r="14" spans="1:12" s="24" customFormat="1" x14ac:dyDescent="0.35">
      <c r="A14" s="155"/>
      <c r="B14" s="155"/>
      <c r="C14" s="76" t="s">
        <v>9</v>
      </c>
      <c r="D14" s="77"/>
      <c r="E14" s="79"/>
      <c r="F14" s="79"/>
      <c r="G14" s="79"/>
      <c r="H14" s="79"/>
      <c r="I14" s="79"/>
      <c r="J14" s="79"/>
      <c r="K14" s="80"/>
      <c r="L14" s="73"/>
    </row>
    <row r="15" spans="1:12" s="24" customFormat="1" x14ac:dyDescent="0.35">
      <c r="A15" s="155"/>
      <c r="B15" s="156"/>
      <c r="C15" s="161" t="s">
        <v>10</v>
      </c>
      <c r="D15" s="162"/>
      <c r="E15" s="162"/>
      <c r="F15" s="162"/>
      <c r="G15" s="162"/>
      <c r="H15" s="162"/>
      <c r="I15" s="162"/>
      <c r="J15" s="162"/>
      <c r="K15" s="163"/>
      <c r="L15" s="73"/>
    </row>
    <row r="16" spans="1:12" s="24" customFormat="1" ht="14.5" hidden="1" customHeight="1" x14ac:dyDescent="0.35">
      <c r="A16" s="155"/>
      <c r="B16" s="156"/>
      <c r="C16" s="167"/>
      <c r="D16" s="168"/>
      <c r="E16" s="168"/>
      <c r="F16" s="168"/>
      <c r="G16" s="168"/>
      <c r="H16" s="168"/>
      <c r="I16" s="168"/>
      <c r="J16" s="168"/>
      <c r="K16" s="169"/>
      <c r="L16" s="73"/>
    </row>
    <row r="17" spans="1:26" s="24" customFormat="1" ht="14.5" customHeight="1" x14ac:dyDescent="0.35">
      <c r="A17" s="155"/>
      <c r="B17" s="156"/>
      <c r="C17" s="88" t="s">
        <v>11</v>
      </c>
      <c r="D17" s="89"/>
      <c r="E17" s="89"/>
      <c r="F17" s="89"/>
      <c r="G17" s="89"/>
      <c r="H17" s="89"/>
      <c r="I17" s="89"/>
      <c r="J17" s="89"/>
      <c r="K17" s="90"/>
      <c r="L17" s="73"/>
    </row>
    <row r="18" spans="1:26" s="24" customFormat="1" ht="22.5" customHeight="1" x14ac:dyDescent="0.35">
      <c r="A18" s="155"/>
      <c r="B18" s="157"/>
      <c r="C18" s="158" t="s">
        <v>33</v>
      </c>
      <c r="D18" s="159"/>
      <c r="E18" s="159"/>
      <c r="F18" s="159"/>
      <c r="G18" s="159"/>
      <c r="H18" s="159"/>
      <c r="I18" s="159"/>
      <c r="J18" s="159"/>
      <c r="K18" s="160"/>
      <c r="L18" s="73"/>
    </row>
    <row r="19" spans="1:26" s="24" customFormat="1" ht="25.5" customHeight="1" x14ac:dyDescent="0.35">
      <c r="A19" s="155"/>
      <c r="B19" s="156"/>
      <c r="C19" s="161" t="s">
        <v>13</v>
      </c>
      <c r="D19" s="162"/>
      <c r="E19" s="162"/>
      <c r="F19" s="162"/>
      <c r="G19" s="162"/>
      <c r="H19" s="162"/>
      <c r="I19" s="162"/>
      <c r="J19" s="162"/>
      <c r="K19" s="163"/>
      <c r="L19" s="73"/>
    </row>
    <row r="20" spans="1:26" s="24" customFormat="1" ht="23.15" customHeight="1" x14ac:dyDescent="0.35">
      <c r="A20" s="155"/>
      <c r="B20" s="156"/>
      <c r="C20" s="164" t="s">
        <v>14</v>
      </c>
      <c r="D20" s="165"/>
      <c r="E20" s="165"/>
      <c r="F20" s="165"/>
      <c r="G20" s="165"/>
      <c r="H20" s="165"/>
      <c r="I20" s="165"/>
      <c r="J20" s="165"/>
      <c r="K20" s="166"/>
      <c r="L20" s="73"/>
    </row>
    <row r="21" spans="1:26" s="24" customFormat="1" ht="14.5" hidden="1" customHeight="1" x14ac:dyDescent="0.35">
      <c r="B21" s="84"/>
    </row>
    <row r="22" spans="1:26" s="24" customFormat="1" ht="13" customHeight="1" x14ac:dyDescent="0.35">
      <c r="B22" s="84"/>
    </row>
    <row r="23" spans="1:26" s="24" customFormat="1" ht="16.5" thickBot="1" x14ac:dyDescent="0.4">
      <c r="B23" s="91"/>
      <c r="C23" s="92"/>
      <c r="D23" s="74" t="s">
        <v>34</v>
      </c>
      <c r="E23" s="92"/>
      <c r="F23" s="92"/>
      <c r="G23" s="92"/>
      <c r="H23" s="92"/>
      <c r="I23" s="92"/>
      <c r="J23" s="92"/>
      <c r="K23" s="92"/>
    </row>
    <row r="24" spans="1:26" s="24" customFormat="1" x14ac:dyDescent="0.35">
      <c r="B24" s="93"/>
      <c r="C24" s="94"/>
      <c r="D24" s="95"/>
      <c r="E24" s="96"/>
      <c r="F24" s="96"/>
      <c r="G24" s="97" t="str" cm="1">
        <f t="array" aca="1" ref="G24:I24" ca="1">TEXT(EDATE(TODAY(),{0,-1,-2}),"mmmm")</f>
        <v>April</v>
      </c>
      <c r="H24" s="97" t="str">
        <f ca="1"/>
        <v>March</v>
      </c>
      <c r="I24" s="97" t="str">
        <f ca="1"/>
        <v>February</v>
      </c>
      <c r="J24" s="96"/>
      <c r="K24" s="98"/>
    </row>
    <row r="25" spans="1:26" s="24" customFormat="1" ht="60.65" customHeight="1" thickBot="1" x14ac:dyDescent="0.4">
      <c r="B25" s="99" t="s">
        <v>35</v>
      </c>
      <c r="C25" s="29" t="s">
        <v>17</v>
      </c>
      <c r="D25" s="30" t="s">
        <v>36</v>
      </c>
      <c r="E25" s="29" t="s">
        <v>19</v>
      </c>
      <c r="F25" s="30" t="s">
        <v>20</v>
      </c>
      <c r="G25" s="31" t="s">
        <v>21</v>
      </c>
      <c r="H25" s="75" t="s">
        <v>22</v>
      </c>
      <c r="I25" s="28" t="s">
        <v>23</v>
      </c>
      <c r="J25" s="30" t="s">
        <v>24</v>
      </c>
      <c r="K25" s="31" t="s">
        <v>25</v>
      </c>
      <c r="L25" s="73"/>
    </row>
    <row r="26" spans="1:26" s="25" customFormat="1" ht="15" thickBot="1" x14ac:dyDescent="0.4">
      <c r="B26" s="32">
        <v>0</v>
      </c>
      <c r="C26" s="33">
        <v>0</v>
      </c>
      <c r="D26" s="100" t="str">
        <f>IF(OR(B26=0, B26=""), TEXT(MAX(20, VALUE(C26)+1),"$#,##0"), IF(B26/2 &lt; MAX(20, VALUE(C26)+1), TEXT(MAX(20, VALUE(C26)+1),"$#,##0"), TEXT(MAX(20, VALUE(C26)+1),"$#,##0") &amp; " - " &amp; TEXT(B26,"$#,##0")) )</f>
        <v>$20</v>
      </c>
      <c r="E26" s="33">
        <v>0</v>
      </c>
      <c r="F26" s="65">
        <f>$E$26*3</f>
        <v>0</v>
      </c>
      <c r="G26" s="34">
        <v>0</v>
      </c>
      <c r="H26" s="35">
        <v>0</v>
      </c>
      <c r="I26" s="36">
        <v>0</v>
      </c>
      <c r="J26" s="66">
        <f>SUM($G$26:$I$26)</f>
        <v>0</v>
      </c>
      <c r="K26" s="101">
        <f>E26*3 - J26</f>
        <v>0</v>
      </c>
    </row>
    <row r="27" spans="1:26" s="24" customFormat="1" ht="22" thickBot="1" x14ac:dyDescent="0.4">
      <c r="B27" s="102"/>
      <c r="C27" s="103"/>
      <c r="D27" s="104"/>
      <c r="E27" s="103"/>
      <c r="F27" s="105" t="s">
        <v>26</v>
      </c>
      <c r="G27" s="40">
        <v>0</v>
      </c>
      <c r="H27" s="41">
        <v>0</v>
      </c>
      <c r="I27" s="39">
        <v>0</v>
      </c>
      <c r="J27" s="103"/>
      <c r="K27" s="115" t="s">
        <v>37</v>
      </c>
    </row>
    <row r="28" spans="1:26" s="24" customFormat="1" ht="15" thickBot="1" x14ac:dyDescent="0.4">
      <c r="B28" s="106"/>
      <c r="C28" s="107"/>
      <c r="D28" s="107"/>
      <c r="E28" s="107"/>
      <c r="F28" s="108"/>
      <c r="G28" s="109"/>
      <c r="H28" s="109" t="str">
        <f>IF(G26&gt; 0, "proceed", " can't use ")</f>
        <v xml:space="preserve"> can't use </v>
      </c>
      <c r="I28" s="110" t="str">
        <f>IF(H26&gt; 0, "proceed", " can't use ")</f>
        <v xml:space="preserve"> can't use </v>
      </c>
      <c r="J28" s="107"/>
      <c r="K28" s="116" t="s">
        <v>38</v>
      </c>
    </row>
    <row r="29" spans="1:26" s="24" customFormat="1" x14ac:dyDescent="0.35">
      <c r="B29" s="84"/>
    </row>
    <row r="30" spans="1:26" s="24" customFormat="1" x14ac:dyDescent="0.35">
      <c r="B30" s="84"/>
    </row>
    <row r="31" spans="1:26" s="24" customFormat="1" x14ac:dyDescent="0.35">
      <c r="B31" s="84"/>
    </row>
    <row r="32" spans="1:26" ht="23.25" customHeight="1" x14ac:dyDescent="0.35">
      <c r="B32" s="111" t="s">
        <v>27</v>
      </c>
      <c r="C32" s="21" t="s">
        <v>27</v>
      </c>
      <c r="D32" s="21" t="s">
        <v>27</v>
      </c>
      <c r="E32" s="21" t="s">
        <v>28</v>
      </c>
      <c r="F32" s="22"/>
      <c r="H32" s="23" t="s">
        <v>29</v>
      </c>
      <c r="I32" s="24"/>
      <c r="J32" s="56"/>
      <c r="K32" s="56"/>
      <c r="L32" s="56"/>
      <c r="M32" s="56"/>
      <c r="N32" s="56"/>
      <c r="O32" s="56"/>
      <c r="P32" s="24"/>
      <c r="Q32" s="24"/>
      <c r="R32" s="24"/>
      <c r="S32" s="24"/>
      <c r="T32" s="24"/>
      <c r="U32" s="24"/>
      <c r="V32" s="24"/>
      <c r="W32" s="24"/>
      <c r="X32" s="24"/>
      <c r="Y32" s="24"/>
      <c r="Z32" s="24"/>
    </row>
    <row r="33" spans="2:26" x14ac:dyDescent="0.35">
      <c r="B33" s="112" t="s">
        <v>39</v>
      </c>
      <c r="C33" s="38" t="s">
        <v>39</v>
      </c>
      <c r="D33" s="38" t="s">
        <v>39</v>
      </c>
      <c r="E33" s="38" t="s">
        <v>39</v>
      </c>
      <c r="F33" s="113"/>
      <c r="G33" s="39">
        <v>0</v>
      </c>
      <c r="H33" s="39">
        <v>0</v>
      </c>
      <c r="I33" s="39">
        <v>0</v>
      </c>
      <c r="J33" s="56"/>
      <c r="K33" s="56"/>
      <c r="L33" s="56"/>
      <c r="M33" s="56"/>
      <c r="N33" s="56"/>
      <c r="O33" s="56"/>
      <c r="P33" s="24"/>
      <c r="Q33" s="24"/>
      <c r="R33" s="24"/>
      <c r="S33" s="24"/>
      <c r="T33" s="24"/>
      <c r="U33" s="24"/>
      <c r="V33" s="24"/>
      <c r="W33" s="24"/>
      <c r="X33" s="24"/>
      <c r="Y33" s="24"/>
      <c r="Z33" s="24"/>
    </row>
    <row r="34" spans="2:26" x14ac:dyDescent="0.35">
      <c r="B34" s="84"/>
      <c r="C34" s="24"/>
      <c r="D34" s="24"/>
      <c r="E34" s="24"/>
      <c r="F34" s="24"/>
      <c r="G34" s="24"/>
      <c r="H34" s="24"/>
      <c r="I34" s="56"/>
      <c r="J34" s="56"/>
      <c r="K34" s="56"/>
      <c r="L34" s="56"/>
      <c r="M34" s="56"/>
      <c r="N34" s="56"/>
      <c r="O34" s="56"/>
      <c r="P34" s="24"/>
      <c r="Q34" s="24"/>
      <c r="R34" s="24"/>
      <c r="S34" s="24"/>
      <c r="T34" s="24"/>
      <c r="U34" s="24"/>
      <c r="V34" s="24"/>
      <c r="W34" s="24"/>
      <c r="X34" s="24"/>
      <c r="Y34" s="24"/>
      <c r="Z34" s="24"/>
    </row>
    <row r="35" spans="2:26" x14ac:dyDescent="0.35">
      <c r="B35" s="84"/>
      <c r="C35" s="24"/>
      <c r="D35" s="55" t="s">
        <v>30</v>
      </c>
      <c r="E35" s="24"/>
      <c r="F35" s="24"/>
      <c r="G35" s="24"/>
      <c r="H35" s="24"/>
      <c r="I35" s="56"/>
      <c r="J35" s="56"/>
      <c r="K35" s="56"/>
      <c r="L35" s="56"/>
      <c r="M35" s="56"/>
      <c r="N35" s="56"/>
      <c r="O35" s="56"/>
      <c r="P35" s="24"/>
      <c r="Q35" s="24"/>
      <c r="R35" s="24"/>
      <c r="S35" s="24"/>
      <c r="T35" s="24"/>
      <c r="U35" s="24"/>
      <c r="V35" s="24"/>
      <c r="W35" s="24"/>
      <c r="X35" s="24"/>
      <c r="Y35" s="24"/>
      <c r="Z35" s="24"/>
    </row>
    <row r="36" spans="2:26" x14ac:dyDescent="0.35">
      <c r="B36" s="84"/>
      <c r="C36" s="24"/>
      <c r="D36" s="24"/>
      <c r="E36" s="24"/>
      <c r="F36" s="24"/>
      <c r="G36" s="24"/>
      <c r="H36" s="24"/>
      <c r="I36" s="56"/>
      <c r="J36" s="56"/>
      <c r="K36" s="56"/>
      <c r="L36" s="56"/>
      <c r="M36" s="56"/>
      <c r="N36" s="56"/>
      <c r="O36" s="56"/>
      <c r="P36" s="24"/>
      <c r="Q36" s="24"/>
      <c r="R36" s="24"/>
      <c r="S36" s="24"/>
      <c r="T36" s="24"/>
      <c r="U36" s="24"/>
      <c r="V36" s="24"/>
      <c r="W36" s="24"/>
      <c r="X36" s="24"/>
      <c r="Y36" s="24"/>
      <c r="Z36" s="24"/>
    </row>
    <row r="37" spans="2:26" ht="15" customHeight="1" x14ac:dyDescent="0.35">
      <c r="B37" s="127" t="str">
        <f xml:space="preserve"> "Please set TCP @ $" &amp; TEXT($E26,"0.00") &amp;
  " for the due dates of " &amp; TEXT($B33,"mm/dd/yy") &amp; ", " &amp; TEXT($C33,"mm/dd/yy") &amp; ", and " &amp; TEXT($D33,"mm/dd/yy") &amp;
  ". Payment will return to normal for the " &amp; TEXT($E33,"mm/dd/yy") &amp; " due date. " &amp;
  "Educated cust that this arrangement is only available once in 12 months or twice in 5 years. " &amp;
  "Cust understands account will be restricted during the TCP and if a payment is not met, the account will be removed from program and payments will return to normal. " &amp;
  "Customer understands interest rate will end on " &amp; TEXT($G33,"mm/dd/yy") &amp; ", " &amp; TEXT(H33, "mm/dd/yy") &amp; ", " &amp; TEXT(I33, "mm/dd/yy") &amp; ". (if low-rate program will expire) " &amp;
  "I confirm the account meets basic requirements. " &amp;
  "Qualifying payments: $" &amp; TEXT($G26,"0.00") &amp; " on " &amp; TEXT($G27,"mm/dd/yy") &amp; "; $" &amp; TEXT($H26,"0.00") &amp; " on " &amp; TEXT($H27,"mm/dd/yy") &amp; "; $" &amp; TEXT($I27,"0.00") &amp; " on " &amp; TEXT($I27,"mm/dd/yy") &amp;
  " (repeat as necessary). Name/ext"</f>
        <v>Please set TCP @ $0.00 for the due dates of 00/00/0000, 00/00/0000, and 00/00/0000. Payment will return to normal for the 00/00/0000 due date. Educated cust that this arrangement is only available once in 12 months or twice in 5 years. Cust understands account will be restricted during the TCP and if a payment is not met, the account will be removed from program and payments will return to normal. Customer understands interest rate will end on 01/00/00, 01/00/00, 01/00/00. (if low-rate program will expire) I confirm the account meets basic requirements. Qualifying payments: $0.00 on 01/00/00; $0.00 on 01/00/00; $0.00 on 01/00/00 (repeat as necessary). Name/ext</v>
      </c>
      <c r="C37" s="127"/>
      <c r="D37" s="127"/>
      <c r="E37" s="127"/>
      <c r="F37" s="127"/>
      <c r="G37" s="127"/>
      <c r="H37" s="127"/>
      <c r="I37" s="56"/>
      <c r="J37" s="56"/>
      <c r="K37" s="56"/>
      <c r="L37" s="56"/>
      <c r="M37" s="56"/>
      <c r="N37" s="56"/>
      <c r="O37" s="56"/>
      <c r="P37" s="24"/>
      <c r="Q37" s="24"/>
      <c r="R37" s="24"/>
      <c r="S37" s="24"/>
      <c r="T37" s="24"/>
      <c r="U37" s="24"/>
      <c r="V37" s="24"/>
      <c r="W37" s="24"/>
      <c r="X37" s="24"/>
      <c r="Y37" s="24"/>
      <c r="Z37" s="24"/>
    </row>
    <row r="38" spans="2:26" x14ac:dyDescent="0.35">
      <c r="B38" s="127"/>
      <c r="C38" s="127"/>
      <c r="D38" s="127"/>
      <c r="E38" s="127"/>
      <c r="F38" s="127"/>
      <c r="G38" s="127"/>
      <c r="H38" s="127"/>
      <c r="I38" s="56"/>
      <c r="J38" s="56"/>
      <c r="K38" s="56"/>
      <c r="L38" s="56"/>
      <c r="M38" s="56"/>
      <c r="N38" s="56"/>
      <c r="O38" s="56"/>
      <c r="P38" s="24"/>
      <c r="Q38" s="24"/>
      <c r="R38" s="24"/>
      <c r="S38" s="24"/>
      <c r="T38" s="24"/>
      <c r="U38" s="24"/>
      <c r="V38" s="24"/>
      <c r="W38" s="24"/>
      <c r="X38" s="24"/>
      <c r="Y38" s="24"/>
      <c r="Z38" s="24"/>
    </row>
    <row r="39" spans="2:26" x14ac:dyDescent="0.35">
      <c r="B39" s="127"/>
      <c r="C39" s="127"/>
      <c r="D39" s="127"/>
      <c r="E39" s="127"/>
      <c r="F39" s="127"/>
      <c r="G39" s="127"/>
      <c r="H39" s="127"/>
      <c r="I39" s="56"/>
      <c r="J39" s="56"/>
      <c r="K39" s="56"/>
      <c r="L39" s="56"/>
      <c r="M39" s="56"/>
      <c r="N39" s="56"/>
      <c r="O39" s="56"/>
      <c r="P39" s="24"/>
      <c r="Q39" s="24"/>
      <c r="R39" s="24"/>
      <c r="S39" s="24"/>
      <c r="T39" s="24"/>
      <c r="U39" s="24"/>
      <c r="V39" s="24"/>
      <c r="W39" s="24"/>
      <c r="X39" s="24"/>
      <c r="Y39" s="24"/>
      <c r="Z39" s="24"/>
    </row>
    <row r="40" spans="2:26" x14ac:dyDescent="0.35">
      <c r="B40" s="127"/>
      <c r="C40" s="127"/>
      <c r="D40" s="127"/>
      <c r="E40" s="127"/>
      <c r="F40" s="127"/>
      <c r="G40" s="127"/>
      <c r="H40" s="127"/>
      <c r="I40" s="56"/>
      <c r="J40" s="56"/>
      <c r="K40" s="56"/>
      <c r="L40" s="56"/>
      <c r="M40" s="56"/>
      <c r="N40" s="56"/>
      <c r="O40" s="56"/>
      <c r="P40" s="24"/>
      <c r="Q40" s="24"/>
      <c r="R40" s="24"/>
      <c r="S40" s="24"/>
      <c r="T40" s="24"/>
      <c r="U40" s="24"/>
      <c r="V40" s="24"/>
      <c r="W40" s="24"/>
      <c r="X40" s="24"/>
      <c r="Y40" s="24"/>
      <c r="Z40" s="24"/>
    </row>
    <row r="41" spans="2:26" x14ac:dyDescent="0.35">
      <c r="B41" s="127"/>
      <c r="C41" s="127"/>
      <c r="D41" s="127"/>
      <c r="E41" s="127"/>
      <c r="F41" s="127"/>
      <c r="G41" s="127"/>
      <c r="H41" s="127"/>
      <c r="I41" s="56"/>
      <c r="J41" s="56"/>
      <c r="K41" s="56"/>
      <c r="L41" s="56"/>
      <c r="M41" s="56"/>
      <c r="N41" s="56"/>
      <c r="O41" s="56"/>
      <c r="P41" s="24"/>
      <c r="Q41" s="24"/>
      <c r="R41" s="24"/>
      <c r="S41" s="24"/>
      <c r="T41" s="24"/>
      <c r="U41" s="24"/>
      <c r="V41" s="24"/>
      <c r="W41" s="24"/>
      <c r="X41" s="24"/>
      <c r="Y41" s="24"/>
      <c r="Z41" s="24"/>
    </row>
    <row r="42" spans="2:26" x14ac:dyDescent="0.35">
      <c r="B42" s="127"/>
      <c r="C42" s="127"/>
      <c r="D42" s="127"/>
      <c r="E42" s="127"/>
      <c r="F42" s="127"/>
      <c r="G42" s="127"/>
      <c r="H42" s="127"/>
      <c r="I42" s="56"/>
      <c r="J42" s="56"/>
      <c r="K42" s="56"/>
      <c r="L42" s="56"/>
      <c r="M42" s="56"/>
      <c r="N42" s="56"/>
      <c r="O42" s="56"/>
      <c r="P42" s="24"/>
      <c r="Q42" s="24"/>
      <c r="R42" s="24"/>
      <c r="S42" s="24"/>
      <c r="T42" s="24"/>
      <c r="U42" s="24"/>
      <c r="V42" s="24"/>
      <c r="W42" s="24"/>
      <c r="X42" s="24"/>
      <c r="Y42" s="24"/>
      <c r="Z42" s="24"/>
    </row>
    <row r="43" spans="2:26" x14ac:dyDescent="0.35">
      <c r="B43" s="127"/>
      <c r="C43" s="127"/>
      <c r="D43" s="127"/>
      <c r="E43" s="127"/>
      <c r="F43" s="127"/>
      <c r="G43" s="127"/>
      <c r="H43" s="127"/>
      <c r="I43" s="56"/>
      <c r="J43" s="56"/>
      <c r="K43" s="56"/>
      <c r="L43" s="56"/>
      <c r="M43" s="56"/>
      <c r="N43" s="56"/>
      <c r="O43" s="56"/>
      <c r="P43" s="24"/>
      <c r="Q43" s="24"/>
      <c r="R43" s="24"/>
      <c r="S43" s="24"/>
      <c r="T43" s="24"/>
      <c r="U43" s="24"/>
      <c r="V43" s="24"/>
      <c r="W43" s="24"/>
      <c r="X43" s="24"/>
      <c r="Y43" s="24"/>
      <c r="Z43" s="24"/>
    </row>
    <row r="44" spans="2:26" x14ac:dyDescent="0.35">
      <c r="B44" s="127"/>
      <c r="C44" s="127"/>
      <c r="D44" s="127"/>
      <c r="E44" s="127"/>
      <c r="F44" s="127"/>
      <c r="G44" s="127"/>
      <c r="H44" s="127"/>
      <c r="I44" s="56"/>
      <c r="J44" s="56"/>
      <c r="K44" s="56"/>
      <c r="L44" s="56"/>
      <c r="M44" s="56"/>
      <c r="N44" s="56"/>
      <c r="O44" s="56"/>
      <c r="P44" s="24"/>
      <c r="Q44" s="24"/>
      <c r="R44" s="24"/>
      <c r="S44" s="24"/>
      <c r="T44" s="24"/>
      <c r="U44" s="24"/>
      <c r="V44" s="24"/>
      <c r="W44" s="24"/>
      <c r="X44" s="24"/>
      <c r="Y44" s="24"/>
      <c r="Z44" s="24"/>
    </row>
    <row r="45" spans="2:26" x14ac:dyDescent="0.35">
      <c r="B45" s="84"/>
      <c r="C45" s="24"/>
      <c r="D45" s="24"/>
      <c r="E45" s="24"/>
      <c r="F45" s="24"/>
      <c r="G45" s="24"/>
      <c r="H45" s="24"/>
      <c r="I45" s="56"/>
      <c r="J45" s="56"/>
      <c r="K45" s="56"/>
      <c r="L45" s="56"/>
      <c r="M45" s="56"/>
      <c r="N45" s="56"/>
      <c r="O45" s="56"/>
      <c r="P45" s="24"/>
      <c r="Q45" s="24"/>
      <c r="R45" s="24"/>
      <c r="S45" s="24"/>
      <c r="T45" s="24"/>
      <c r="U45" s="24"/>
      <c r="V45" s="24"/>
      <c r="W45" s="24"/>
      <c r="X45" s="24"/>
      <c r="Y45" s="24"/>
      <c r="Z45" s="24"/>
    </row>
    <row r="46" spans="2:26" x14ac:dyDescent="0.35">
      <c r="B46" s="84"/>
      <c r="C46" s="24"/>
      <c r="D46" s="24"/>
      <c r="E46" s="24"/>
      <c r="F46" s="24"/>
      <c r="G46" s="24"/>
      <c r="H46" s="24"/>
      <c r="I46" s="56"/>
      <c r="J46" s="56"/>
      <c r="K46" s="56"/>
      <c r="L46" s="56"/>
      <c r="M46" s="56"/>
      <c r="N46" s="56"/>
      <c r="O46" s="56"/>
      <c r="P46" s="24"/>
      <c r="Q46" s="24"/>
      <c r="R46" s="24"/>
      <c r="S46" s="24"/>
      <c r="T46" s="24"/>
      <c r="U46" s="24"/>
      <c r="V46" s="24"/>
      <c r="W46" s="24"/>
    </row>
    <row r="47" spans="2:26" x14ac:dyDescent="0.35">
      <c r="B47" s="84"/>
      <c r="C47" s="24"/>
      <c r="D47" s="24"/>
      <c r="E47" s="24"/>
      <c r="F47" s="24"/>
      <c r="G47" s="24"/>
      <c r="H47" s="24"/>
      <c r="I47" s="56"/>
      <c r="J47" s="56"/>
      <c r="K47" s="56"/>
      <c r="L47" s="56"/>
      <c r="M47" s="56"/>
      <c r="N47" s="56"/>
      <c r="O47" s="56"/>
      <c r="P47" s="24"/>
      <c r="Q47" s="24"/>
      <c r="R47" s="24"/>
      <c r="S47" s="24"/>
      <c r="T47" s="24"/>
      <c r="U47" s="24"/>
      <c r="V47" s="24"/>
      <c r="W47" s="24"/>
    </row>
    <row r="48" spans="2:26" x14ac:dyDescent="0.35">
      <c r="B48" s="84"/>
      <c r="C48" s="24"/>
      <c r="D48" s="24"/>
      <c r="E48" s="24"/>
      <c r="F48" s="24"/>
      <c r="G48" s="24"/>
      <c r="H48" s="24"/>
      <c r="I48" s="56"/>
      <c r="J48" s="56"/>
      <c r="K48" s="56"/>
      <c r="L48" s="56"/>
      <c r="M48" s="56"/>
      <c r="N48" s="56"/>
      <c r="O48" s="56"/>
      <c r="P48" s="24"/>
      <c r="Q48" s="24"/>
      <c r="R48" s="24"/>
      <c r="S48" s="24"/>
      <c r="T48" s="24"/>
      <c r="U48" s="24"/>
      <c r="V48" s="24"/>
      <c r="W48" s="24"/>
    </row>
    <row r="49" spans="2:23" x14ac:dyDescent="0.35">
      <c r="B49" s="84"/>
      <c r="C49" s="24"/>
      <c r="D49" s="24"/>
      <c r="E49" s="24"/>
      <c r="F49" s="24"/>
      <c r="G49" s="24"/>
      <c r="H49" s="24"/>
      <c r="I49" s="56"/>
      <c r="J49" s="56"/>
      <c r="K49" s="56"/>
      <c r="L49" s="56"/>
      <c r="M49" s="56"/>
      <c r="N49" s="56"/>
      <c r="O49" s="56"/>
      <c r="P49" s="24"/>
      <c r="Q49" s="24"/>
      <c r="R49" s="24"/>
      <c r="S49" s="24"/>
      <c r="T49" s="24"/>
      <c r="U49" s="24"/>
      <c r="V49" s="24"/>
      <c r="W49" s="24"/>
    </row>
    <row r="50" spans="2:23" x14ac:dyDescent="0.35">
      <c r="B50" s="84"/>
      <c r="C50" s="24"/>
      <c r="D50" s="24"/>
      <c r="E50" s="24"/>
      <c r="F50" s="24"/>
      <c r="G50" s="24"/>
      <c r="H50" s="24"/>
      <c r="I50" s="56"/>
      <c r="J50" s="56"/>
      <c r="K50" s="56"/>
      <c r="L50" s="56"/>
      <c r="M50" s="56"/>
      <c r="N50" s="56"/>
      <c r="O50" s="27"/>
      <c r="P50" s="24"/>
      <c r="Q50" s="24"/>
      <c r="R50" s="24"/>
      <c r="S50" s="24"/>
      <c r="T50" s="24"/>
      <c r="U50" s="24"/>
      <c r="V50" s="24"/>
      <c r="W50" s="24"/>
    </row>
    <row r="51" spans="2:23" x14ac:dyDescent="0.35">
      <c r="B51" s="84"/>
      <c r="C51" s="24"/>
      <c r="D51" s="24"/>
      <c r="E51" s="24"/>
      <c r="F51" s="24"/>
      <c r="G51" s="24"/>
      <c r="H51" s="24"/>
      <c r="I51" s="24"/>
      <c r="J51" s="24"/>
      <c r="K51" s="24"/>
      <c r="L51" s="24"/>
      <c r="M51" s="24"/>
      <c r="N51" s="24"/>
      <c r="O51" s="24"/>
      <c r="P51" s="24"/>
      <c r="Q51" s="24"/>
      <c r="R51" s="24"/>
      <c r="S51" s="24"/>
      <c r="T51" s="24"/>
      <c r="U51" s="24"/>
      <c r="V51" s="24"/>
      <c r="W51" s="24"/>
    </row>
    <row r="52" spans="2:23" x14ac:dyDescent="0.35">
      <c r="B52" s="84"/>
      <c r="C52" s="24"/>
      <c r="D52" s="24"/>
      <c r="E52" s="24"/>
      <c r="F52" s="24"/>
      <c r="G52" s="24"/>
      <c r="H52" s="24"/>
      <c r="I52" s="24"/>
      <c r="J52" s="24"/>
      <c r="K52" s="24"/>
      <c r="L52" s="24"/>
      <c r="M52" s="24"/>
      <c r="N52" s="24"/>
      <c r="O52" s="24"/>
      <c r="P52" s="24"/>
      <c r="Q52" s="24"/>
      <c r="R52" s="24"/>
      <c r="S52" s="24"/>
      <c r="T52" s="24"/>
      <c r="U52" s="24"/>
      <c r="V52" s="24"/>
      <c r="W52" s="24"/>
    </row>
    <row r="53" spans="2:23" x14ac:dyDescent="0.35">
      <c r="B53" s="84"/>
      <c r="C53" s="24"/>
      <c r="D53" s="24"/>
      <c r="E53" s="24"/>
      <c r="F53" s="24"/>
      <c r="G53" s="24"/>
      <c r="H53" s="24"/>
      <c r="I53" s="24"/>
      <c r="J53" s="24"/>
      <c r="K53" s="24"/>
      <c r="L53" s="24"/>
      <c r="M53" s="24"/>
      <c r="N53" s="24"/>
      <c r="O53" s="24"/>
      <c r="P53" s="24"/>
      <c r="Q53" s="24"/>
      <c r="R53" s="24"/>
      <c r="S53" s="24"/>
      <c r="T53" s="24"/>
      <c r="U53" s="24"/>
      <c r="V53" s="24"/>
      <c r="W53" s="24"/>
    </row>
    <row r="54" spans="2:23" x14ac:dyDescent="0.35">
      <c r="B54" s="84"/>
      <c r="C54" s="24"/>
      <c r="D54" s="24"/>
      <c r="E54" s="24"/>
      <c r="F54" s="24"/>
      <c r="G54" s="24"/>
      <c r="H54" s="24"/>
      <c r="I54" s="24"/>
      <c r="J54" s="24"/>
      <c r="K54" s="24"/>
      <c r="L54" s="24"/>
      <c r="M54" s="24"/>
      <c r="N54" s="24"/>
      <c r="O54" s="24"/>
      <c r="P54" s="24"/>
      <c r="Q54" s="24"/>
      <c r="R54" s="24"/>
      <c r="S54" s="24"/>
      <c r="T54" s="24"/>
      <c r="U54" s="24"/>
      <c r="V54" s="24"/>
      <c r="W54" s="24"/>
    </row>
    <row r="55" spans="2:23" x14ac:dyDescent="0.35">
      <c r="B55" s="84"/>
      <c r="C55" s="24"/>
      <c r="D55" s="24"/>
      <c r="E55" s="24"/>
      <c r="F55" s="24"/>
      <c r="G55" s="24"/>
      <c r="H55" s="24"/>
      <c r="I55" s="24"/>
      <c r="J55" s="24"/>
      <c r="K55" s="24"/>
      <c r="L55" s="24"/>
      <c r="M55" s="24"/>
      <c r="N55" s="24"/>
      <c r="O55" s="24"/>
      <c r="P55" s="24"/>
      <c r="Q55" s="24"/>
      <c r="R55" s="24"/>
      <c r="S55" s="24"/>
      <c r="T55" s="24"/>
      <c r="U55" s="24"/>
      <c r="V55" s="24"/>
      <c r="W55" s="24"/>
    </row>
    <row r="56" spans="2:23" x14ac:dyDescent="0.35">
      <c r="B56" s="84"/>
      <c r="C56" s="24"/>
      <c r="D56" s="24"/>
      <c r="E56" s="24"/>
      <c r="F56" s="24"/>
      <c r="G56" s="24"/>
      <c r="H56" s="24"/>
      <c r="I56" s="24"/>
      <c r="J56" s="24"/>
      <c r="K56" s="24"/>
      <c r="L56" s="24"/>
      <c r="M56" s="24"/>
      <c r="N56" s="24"/>
      <c r="O56" s="24"/>
      <c r="P56" s="24"/>
      <c r="Q56" s="24"/>
      <c r="R56" s="24"/>
      <c r="S56" s="24"/>
      <c r="T56" s="24"/>
      <c r="U56" s="24"/>
      <c r="V56" s="24"/>
      <c r="W56" s="24"/>
    </row>
    <row r="57" spans="2:23" x14ac:dyDescent="0.35">
      <c r="B57" s="84"/>
      <c r="C57" s="24"/>
      <c r="D57" s="24"/>
      <c r="E57" s="24"/>
      <c r="F57" s="24"/>
      <c r="G57" s="24"/>
      <c r="H57" s="24"/>
      <c r="I57" s="24"/>
      <c r="J57" s="24"/>
      <c r="K57" s="24"/>
      <c r="L57" s="24"/>
      <c r="M57" s="24"/>
      <c r="N57" s="24"/>
      <c r="O57" s="24"/>
      <c r="P57" s="24"/>
      <c r="Q57" s="24"/>
      <c r="R57" s="24"/>
      <c r="S57" s="24"/>
      <c r="T57" s="24"/>
      <c r="U57" s="24"/>
      <c r="V57" s="24"/>
      <c r="W57" s="24"/>
    </row>
    <row r="58" spans="2:23" ht="15" thickBot="1" x14ac:dyDescent="0.4">
      <c r="B58" s="84"/>
      <c r="C58" s="24"/>
      <c r="D58" s="24"/>
      <c r="E58" s="24"/>
      <c r="F58" s="24"/>
      <c r="G58" s="24"/>
      <c r="H58" s="24"/>
      <c r="I58" s="24"/>
      <c r="J58" s="24"/>
      <c r="K58" s="24"/>
      <c r="L58" s="24"/>
      <c r="M58" s="24"/>
      <c r="N58" s="24"/>
      <c r="O58" s="24"/>
      <c r="P58" s="24"/>
      <c r="Q58" s="24"/>
      <c r="R58" s="24"/>
      <c r="S58" s="24"/>
      <c r="T58" s="24"/>
      <c r="U58" s="24"/>
      <c r="V58" s="24"/>
      <c r="W58" s="24"/>
    </row>
    <row r="59" spans="2:23" x14ac:dyDescent="0.35">
      <c r="B59" s="84"/>
      <c r="C59" s="24"/>
      <c r="D59" s="24"/>
      <c r="E59" s="24"/>
      <c r="F59" s="24"/>
      <c r="G59" s="24"/>
      <c r="H59" s="24"/>
      <c r="I59" s="24"/>
      <c r="J59" s="24"/>
      <c r="K59" s="24"/>
      <c r="L59" s="24"/>
      <c r="M59" s="24"/>
      <c r="N59" s="24"/>
      <c r="O59" s="24"/>
      <c r="P59" s="24"/>
      <c r="Q59" s="24"/>
      <c r="R59" s="24"/>
      <c r="S59" s="24"/>
      <c r="T59" s="24"/>
      <c r="U59" s="24"/>
      <c r="V59" s="24"/>
      <c r="W59" s="24"/>
    </row>
    <row r="60" spans="2:23" x14ac:dyDescent="0.35">
      <c r="B60" s="84"/>
      <c r="C60" s="24"/>
      <c r="D60" s="24"/>
      <c r="E60" s="24"/>
      <c r="F60" s="24"/>
      <c r="G60" s="24"/>
      <c r="H60" s="24"/>
      <c r="I60" s="24"/>
      <c r="J60" s="24"/>
      <c r="K60" s="24"/>
      <c r="L60" s="24"/>
      <c r="M60" s="24"/>
      <c r="N60" s="24"/>
      <c r="O60" s="24"/>
      <c r="P60" s="24"/>
      <c r="Q60" s="24"/>
      <c r="R60" s="24"/>
      <c r="S60" s="24"/>
      <c r="T60" s="24"/>
      <c r="U60" s="24"/>
      <c r="V60" s="24"/>
      <c r="W60" s="24"/>
    </row>
    <row r="61" spans="2:23" x14ac:dyDescent="0.35">
      <c r="B61" s="84"/>
      <c r="C61" s="24"/>
      <c r="D61" s="24"/>
      <c r="E61" s="24"/>
      <c r="F61" s="24"/>
      <c r="G61" s="24"/>
      <c r="H61" s="24"/>
      <c r="I61" s="24"/>
      <c r="J61" s="24"/>
      <c r="K61" s="24"/>
      <c r="L61" s="24"/>
      <c r="M61" s="24"/>
      <c r="N61" s="24"/>
      <c r="O61" s="24"/>
      <c r="P61" s="24"/>
      <c r="Q61" s="24"/>
      <c r="R61" s="24"/>
      <c r="S61" s="24"/>
      <c r="T61" s="24"/>
      <c r="U61" s="24"/>
      <c r="V61" s="24"/>
      <c r="W61" s="24"/>
    </row>
    <row r="62" spans="2:23" x14ac:dyDescent="0.35">
      <c r="B62" s="84"/>
      <c r="C62" s="24"/>
      <c r="D62" s="24"/>
      <c r="E62" s="24"/>
      <c r="F62" s="24"/>
      <c r="G62" s="24"/>
      <c r="H62" s="24"/>
      <c r="I62" s="24"/>
      <c r="J62" s="24"/>
      <c r="K62" s="24"/>
      <c r="L62" s="24"/>
      <c r="M62" s="24"/>
      <c r="N62" s="24"/>
      <c r="O62" s="24"/>
      <c r="P62" s="24"/>
      <c r="Q62" s="24"/>
      <c r="R62" s="24"/>
      <c r="S62" s="24"/>
      <c r="T62" s="24"/>
      <c r="U62" s="24"/>
      <c r="V62" s="24"/>
      <c r="W62" s="24"/>
    </row>
    <row r="63" spans="2:23" x14ac:dyDescent="0.35">
      <c r="B63" s="84"/>
      <c r="C63" s="24"/>
      <c r="D63" s="24"/>
      <c r="E63" s="24"/>
      <c r="F63" s="24"/>
      <c r="G63" s="24"/>
      <c r="H63" s="24"/>
      <c r="I63" s="24"/>
      <c r="J63" s="24"/>
      <c r="K63" s="24"/>
      <c r="L63" s="24"/>
      <c r="M63" s="24"/>
      <c r="N63" s="24"/>
      <c r="O63" s="24"/>
      <c r="P63" s="24"/>
      <c r="Q63" s="24"/>
      <c r="R63" s="24"/>
      <c r="S63" s="24"/>
      <c r="T63" s="24"/>
      <c r="U63" s="24"/>
      <c r="V63" s="24"/>
      <c r="W63" s="24"/>
    </row>
    <row r="64" spans="2:23" x14ac:dyDescent="0.35">
      <c r="B64" s="84"/>
      <c r="C64" s="24"/>
      <c r="D64" s="24"/>
      <c r="E64" s="24"/>
      <c r="F64" s="24"/>
      <c r="G64" s="24"/>
      <c r="H64" s="24"/>
      <c r="I64" s="24"/>
      <c r="J64" s="24"/>
      <c r="K64" s="24"/>
      <c r="L64" s="24"/>
      <c r="M64" s="24"/>
      <c r="N64" s="24"/>
      <c r="O64" s="24"/>
      <c r="P64" s="24"/>
      <c r="Q64" s="24"/>
      <c r="R64" s="24"/>
      <c r="S64" s="24"/>
      <c r="T64" s="24"/>
      <c r="U64" s="24"/>
      <c r="V64" s="24"/>
      <c r="W64" s="24"/>
    </row>
    <row r="65" spans="2:23" x14ac:dyDescent="0.35">
      <c r="B65" s="84"/>
      <c r="C65" s="24"/>
      <c r="D65" s="24"/>
      <c r="E65" s="24"/>
      <c r="F65" s="24"/>
      <c r="G65" s="24"/>
      <c r="H65" s="24"/>
      <c r="I65" s="24"/>
      <c r="J65" s="24"/>
      <c r="K65" s="24"/>
      <c r="L65" s="24"/>
      <c r="M65" s="24"/>
      <c r="N65" s="24"/>
      <c r="O65" s="24"/>
      <c r="P65" s="24"/>
      <c r="Q65" s="24"/>
      <c r="R65" s="24"/>
      <c r="S65" s="24"/>
      <c r="T65" s="24"/>
      <c r="U65" s="24"/>
      <c r="V65" s="24"/>
      <c r="W65" s="24"/>
    </row>
    <row r="66" spans="2:23" x14ac:dyDescent="0.35">
      <c r="B66" s="84"/>
      <c r="C66" s="24"/>
      <c r="D66" s="24"/>
      <c r="E66" s="24"/>
      <c r="F66" s="24"/>
      <c r="G66" s="24"/>
      <c r="H66" s="24"/>
      <c r="I66" s="24"/>
      <c r="J66" s="24"/>
      <c r="K66" s="24"/>
      <c r="L66" s="24"/>
      <c r="M66" s="24"/>
      <c r="N66" s="24"/>
      <c r="O66" s="24"/>
      <c r="P66" s="24"/>
      <c r="Q66" s="24"/>
      <c r="R66" s="24"/>
      <c r="S66" s="24"/>
      <c r="T66" s="24"/>
      <c r="U66" s="24"/>
      <c r="V66" s="24"/>
      <c r="W66" s="24"/>
    </row>
    <row r="67" spans="2:23" x14ac:dyDescent="0.35">
      <c r="B67" s="84"/>
      <c r="C67" s="24"/>
      <c r="D67" s="24"/>
      <c r="E67" s="24"/>
      <c r="F67" s="24"/>
      <c r="G67" s="24"/>
      <c r="H67" s="24"/>
      <c r="I67" s="24"/>
      <c r="J67" s="24"/>
      <c r="K67" s="24"/>
      <c r="L67" s="24"/>
      <c r="M67" s="24"/>
      <c r="N67" s="24"/>
      <c r="O67" s="24"/>
      <c r="P67" s="24"/>
      <c r="Q67" s="24"/>
      <c r="R67" s="24"/>
      <c r="S67" s="24"/>
      <c r="T67" s="24"/>
      <c r="U67" s="24"/>
      <c r="V67" s="24"/>
      <c r="W67" s="24"/>
    </row>
    <row r="68" spans="2:23" x14ac:dyDescent="0.35">
      <c r="B68" s="84"/>
      <c r="C68" s="24"/>
      <c r="D68" s="24"/>
      <c r="E68" s="24"/>
      <c r="F68" s="24"/>
      <c r="G68" s="24"/>
      <c r="H68" s="24"/>
      <c r="I68" s="24"/>
      <c r="J68" s="24"/>
      <c r="K68" s="24"/>
      <c r="L68" s="24"/>
      <c r="M68" s="24"/>
      <c r="N68" s="24"/>
      <c r="O68" s="24"/>
      <c r="P68" s="24"/>
      <c r="Q68" s="24"/>
      <c r="R68" s="24"/>
      <c r="S68" s="24"/>
      <c r="T68" s="24"/>
      <c r="U68" s="24"/>
      <c r="V68" s="24"/>
      <c r="W68" s="24"/>
    </row>
    <row r="69" spans="2:23" x14ac:dyDescent="0.35">
      <c r="B69" s="84"/>
      <c r="C69" s="24"/>
      <c r="D69" s="24"/>
      <c r="E69" s="24"/>
      <c r="F69" s="24"/>
      <c r="G69" s="24"/>
      <c r="H69" s="24"/>
      <c r="I69" s="24"/>
      <c r="J69" s="24"/>
      <c r="K69" s="24"/>
      <c r="L69" s="24"/>
      <c r="M69" s="24"/>
      <c r="N69" s="24"/>
      <c r="O69" s="24"/>
      <c r="P69" s="24"/>
      <c r="Q69" s="24"/>
      <c r="R69" s="24"/>
      <c r="S69" s="24"/>
      <c r="T69" s="24"/>
      <c r="U69" s="24"/>
      <c r="V69" s="24"/>
      <c r="W69" s="24"/>
    </row>
    <row r="70" spans="2:23" x14ac:dyDescent="0.35">
      <c r="B70" s="84"/>
      <c r="C70" s="24"/>
      <c r="D70" s="24"/>
      <c r="E70" s="24"/>
      <c r="F70" s="24"/>
      <c r="G70" s="24"/>
      <c r="H70" s="24"/>
      <c r="I70" s="24"/>
      <c r="J70" s="24"/>
      <c r="K70" s="24"/>
      <c r="L70" s="24"/>
      <c r="M70" s="24"/>
      <c r="N70" s="24"/>
      <c r="O70" s="24"/>
      <c r="P70" s="24"/>
      <c r="Q70" s="24"/>
      <c r="R70" s="24"/>
      <c r="S70" s="24"/>
      <c r="T70" s="24"/>
      <c r="U70" s="24"/>
      <c r="V70" s="24"/>
      <c r="W70" s="24"/>
    </row>
    <row r="71" spans="2:23" x14ac:dyDescent="0.35">
      <c r="B71" s="84"/>
      <c r="C71" s="24"/>
      <c r="D71" s="24"/>
      <c r="E71" s="24"/>
      <c r="F71" s="24"/>
      <c r="G71" s="24"/>
      <c r="H71" s="24"/>
      <c r="I71" s="24"/>
      <c r="J71" s="24"/>
      <c r="K71" s="24"/>
      <c r="L71" s="24"/>
      <c r="M71" s="24"/>
      <c r="N71" s="24"/>
      <c r="O71" s="24"/>
      <c r="P71" s="24"/>
      <c r="Q71" s="24"/>
      <c r="R71" s="24"/>
      <c r="S71" s="24"/>
      <c r="T71" s="24"/>
      <c r="U71" s="24"/>
      <c r="V71" s="24"/>
      <c r="W71" s="24"/>
    </row>
    <row r="72" spans="2:23" x14ac:dyDescent="0.35">
      <c r="B72" s="84"/>
      <c r="C72" s="24"/>
      <c r="D72" s="24"/>
      <c r="E72" s="24"/>
      <c r="F72" s="24"/>
      <c r="G72" s="24"/>
      <c r="H72" s="24"/>
      <c r="I72" s="24"/>
      <c r="J72" s="24"/>
      <c r="K72" s="24"/>
      <c r="L72" s="24"/>
      <c r="M72" s="24"/>
      <c r="N72" s="24"/>
      <c r="O72" s="24"/>
      <c r="P72" s="24"/>
      <c r="Q72" s="24"/>
      <c r="R72" s="24"/>
      <c r="S72" s="24"/>
      <c r="T72" s="24"/>
      <c r="U72" s="24"/>
      <c r="V72" s="24"/>
      <c r="W72" s="24"/>
    </row>
    <row r="73" spans="2:23" x14ac:dyDescent="0.35">
      <c r="B73" s="84"/>
      <c r="C73" s="24"/>
      <c r="D73" s="24"/>
      <c r="E73" s="24"/>
      <c r="F73" s="24"/>
      <c r="G73" s="24"/>
      <c r="H73" s="24"/>
      <c r="I73" s="24"/>
      <c r="J73" s="24"/>
      <c r="K73" s="24"/>
      <c r="L73" s="24"/>
      <c r="M73" s="24"/>
      <c r="N73" s="24"/>
      <c r="O73" s="24"/>
      <c r="P73" s="24"/>
      <c r="Q73" s="24"/>
      <c r="R73" s="24"/>
      <c r="S73" s="24"/>
      <c r="T73" s="24"/>
      <c r="U73" s="24"/>
      <c r="V73" s="24"/>
      <c r="W73" s="24"/>
    </row>
    <row r="74" spans="2:23" x14ac:dyDescent="0.35">
      <c r="B74" s="84"/>
      <c r="C74" s="24"/>
      <c r="D74" s="24"/>
      <c r="E74" s="24"/>
      <c r="F74" s="24"/>
      <c r="G74" s="24"/>
      <c r="H74" s="24"/>
      <c r="I74" s="24"/>
      <c r="J74" s="24"/>
      <c r="K74" s="24"/>
      <c r="L74" s="24"/>
      <c r="M74" s="24"/>
      <c r="N74" s="24"/>
      <c r="O74" s="24"/>
      <c r="P74" s="24"/>
      <c r="Q74" s="24"/>
      <c r="R74" s="24"/>
      <c r="S74" s="24"/>
      <c r="T74" s="24"/>
      <c r="U74" s="24"/>
      <c r="V74" s="24"/>
      <c r="W74" s="24"/>
    </row>
    <row r="75" spans="2:23" x14ac:dyDescent="0.35">
      <c r="B75" s="84"/>
      <c r="C75" s="24"/>
      <c r="D75" s="24"/>
      <c r="E75" s="24"/>
      <c r="F75" s="24"/>
      <c r="G75" s="24"/>
      <c r="H75" s="24"/>
      <c r="I75" s="24"/>
      <c r="J75" s="24"/>
      <c r="K75" s="24"/>
      <c r="L75" s="24"/>
      <c r="M75" s="24"/>
      <c r="N75" s="24"/>
      <c r="O75" s="24"/>
      <c r="P75" s="24"/>
      <c r="Q75" s="24"/>
      <c r="R75" s="24"/>
      <c r="S75" s="24"/>
      <c r="T75" s="24"/>
      <c r="U75" s="24"/>
      <c r="V75" s="24"/>
      <c r="W75" s="24"/>
    </row>
    <row r="76" spans="2:23" x14ac:dyDescent="0.35">
      <c r="B76" s="84"/>
      <c r="C76" s="24"/>
      <c r="D76" s="24"/>
      <c r="E76" s="24"/>
      <c r="F76" s="24"/>
      <c r="G76" s="24"/>
      <c r="H76" s="24"/>
      <c r="I76" s="24"/>
      <c r="J76" s="24"/>
      <c r="K76" s="24"/>
      <c r="L76" s="24"/>
      <c r="M76" s="24"/>
      <c r="N76" s="24"/>
      <c r="O76" s="24"/>
      <c r="P76" s="24"/>
      <c r="Q76" s="24"/>
      <c r="R76" s="24"/>
      <c r="S76" s="24"/>
      <c r="T76" s="24"/>
      <c r="U76" s="24"/>
      <c r="V76" s="24"/>
      <c r="W76" s="24"/>
    </row>
    <row r="77" spans="2:23" x14ac:dyDescent="0.35">
      <c r="B77" s="84"/>
      <c r="C77" s="24"/>
      <c r="D77" s="24"/>
      <c r="E77" s="24"/>
      <c r="F77" s="24"/>
      <c r="G77" s="24"/>
      <c r="H77" s="24"/>
      <c r="I77" s="24"/>
      <c r="J77" s="24"/>
      <c r="K77" s="24"/>
      <c r="L77" s="24"/>
      <c r="M77" s="24"/>
      <c r="N77" s="24"/>
      <c r="O77" s="24"/>
      <c r="P77" s="24"/>
      <c r="Q77" s="24"/>
      <c r="R77" s="24"/>
      <c r="S77" s="24"/>
      <c r="T77" s="24"/>
      <c r="U77" s="24"/>
      <c r="V77" s="24"/>
      <c r="W77" s="24"/>
    </row>
    <row r="78" spans="2:23" x14ac:dyDescent="0.35">
      <c r="B78" s="84"/>
      <c r="C78" s="24"/>
      <c r="D78" s="24"/>
      <c r="E78" s="24"/>
      <c r="F78" s="24"/>
      <c r="G78" s="24"/>
      <c r="H78" s="24"/>
      <c r="I78" s="24"/>
      <c r="J78" s="24"/>
      <c r="K78" s="24"/>
      <c r="L78" s="24"/>
      <c r="M78" s="24"/>
      <c r="N78" s="24"/>
      <c r="O78" s="24"/>
      <c r="P78" s="24"/>
      <c r="Q78" s="24"/>
      <c r="R78" s="24"/>
      <c r="S78" s="24"/>
      <c r="T78" s="24"/>
      <c r="U78" s="24"/>
      <c r="V78" s="24"/>
      <c r="W78" s="24"/>
    </row>
    <row r="79" spans="2:23" x14ac:dyDescent="0.35">
      <c r="B79" s="84"/>
      <c r="C79" s="24"/>
      <c r="D79" s="24"/>
      <c r="E79" s="24"/>
      <c r="F79" s="24"/>
      <c r="G79" s="24"/>
      <c r="H79" s="24"/>
      <c r="I79" s="24"/>
      <c r="J79" s="24"/>
      <c r="K79" s="24"/>
      <c r="L79" s="24"/>
      <c r="M79" s="24"/>
      <c r="N79" s="24"/>
      <c r="O79" s="24"/>
      <c r="P79" s="24"/>
      <c r="Q79" s="24"/>
      <c r="R79" s="24"/>
      <c r="S79" s="24"/>
      <c r="T79" s="24"/>
      <c r="U79" s="24"/>
      <c r="V79" s="24"/>
      <c r="W79" s="24"/>
    </row>
    <row r="80" spans="2:23" x14ac:dyDescent="0.35">
      <c r="B80" s="84"/>
      <c r="C80" s="24"/>
      <c r="D80" s="24"/>
      <c r="E80" s="24"/>
      <c r="F80" s="24"/>
      <c r="G80" s="24"/>
      <c r="H80" s="24"/>
      <c r="I80" s="24"/>
      <c r="J80" s="24"/>
      <c r="K80" s="24"/>
      <c r="L80" s="24"/>
      <c r="M80" s="24"/>
      <c r="N80" s="24"/>
      <c r="O80" s="24"/>
      <c r="P80" s="24"/>
      <c r="Q80" s="24"/>
      <c r="R80" s="24"/>
      <c r="S80" s="24"/>
      <c r="T80" s="24"/>
      <c r="U80" s="24"/>
      <c r="V80" s="24"/>
      <c r="W80" s="24"/>
    </row>
    <row r="81" spans="2:23" x14ac:dyDescent="0.35">
      <c r="B81" s="84"/>
      <c r="C81" s="24"/>
      <c r="D81" s="24"/>
      <c r="E81" s="24"/>
      <c r="F81" s="24"/>
      <c r="G81" s="24"/>
      <c r="H81" s="24"/>
      <c r="I81" s="24"/>
      <c r="J81" s="24"/>
      <c r="K81" s="24"/>
      <c r="L81" s="24"/>
      <c r="M81" s="24"/>
      <c r="N81" s="24"/>
      <c r="O81" s="24"/>
      <c r="P81" s="24"/>
      <c r="Q81" s="24"/>
      <c r="R81" s="24"/>
      <c r="S81" s="24"/>
      <c r="T81" s="24"/>
      <c r="U81" s="24"/>
      <c r="V81" s="24"/>
      <c r="W81" s="24"/>
    </row>
    <row r="82" spans="2:23" x14ac:dyDescent="0.35">
      <c r="B82" s="84"/>
      <c r="C82" s="24"/>
      <c r="D82" s="24"/>
      <c r="E82" s="24"/>
      <c r="F82" s="24"/>
      <c r="G82" s="24"/>
      <c r="H82" s="24"/>
      <c r="I82" s="24"/>
      <c r="J82" s="24"/>
      <c r="K82" s="24"/>
      <c r="L82" s="24"/>
      <c r="M82" s="24"/>
      <c r="N82" s="24"/>
      <c r="O82" s="24"/>
      <c r="P82" s="24"/>
      <c r="Q82" s="24"/>
      <c r="R82" s="24"/>
      <c r="S82" s="24"/>
      <c r="T82" s="24"/>
      <c r="U82" s="24"/>
      <c r="V82" s="24"/>
      <c r="W82" s="24"/>
    </row>
    <row r="83" spans="2:23" x14ac:dyDescent="0.35">
      <c r="B83" s="84"/>
      <c r="C83" s="24"/>
      <c r="D83" s="24"/>
      <c r="E83" s="24"/>
      <c r="F83" s="24"/>
      <c r="G83" s="24"/>
      <c r="H83" s="24"/>
      <c r="I83" s="24"/>
      <c r="J83" s="24"/>
      <c r="K83" s="24"/>
      <c r="L83" s="24"/>
      <c r="M83" s="24"/>
      <c r="N83" s="24"/>
      <c r="O83" s="24"/>
      <c r="P83" s="24"/>
      <c r="Q83" s="24"/>
      <c r="R83" s="24"/>
      <c r="S83" s="24"/>
      <c r="T83" s="24"/>
      <c r="U83" s="24"/>
      <c r="V83" s="24"/>
      <c r="W83" s="24"/>
    </row>
    <row r="84" spans="2:23" x14ac:dyDescent="0.35">
      <c r="B84" s="84"/>
      <c r="C84" s="24"/>
      <c r="D84" s="24"/>
      <c r="E84" s="24"/>
      <c r="F84" s="24"/>
      <c r="G84" s="24"/>
      <c r="H84" s="24"/>
      <c r="I84" s="24"/>
      <c r="J84" s="24"/>
      <c r="K84" s="24"/>
      <c r="L84" s="24"/>
      <c r="M84" s="24"/>
      <c r="N84" s="24"/>
      <c r="O84" s="24"/>
      <c r="P84" s="24"/>
      <c r="Q84" s="24"/>
      <c r="R84" s="24"/>
      <c r="S84" s="24"/>
      <c r="T84" s="24"/>
      <c r="U84" s="24"/>
      <c r="V84" s="24"/>
      <c r="W84" s="24"/>
    </row>
    <row r="85" spans="2:23" x14ac:dyDescent="0.35">
      <c r="B85" s="84"/>
      <c r="C85" s="24"/>
      <c r="D85" s="24"/>
      <c r="E85" s="24"/>
      <c r="F85" s="24"/>
      <c r="G85" s="24"/>
      <c r="H85" s="24"/>
      <c r="I85" s="24"/>
      <c r="J85" s="24"/>
      <c r="K85" s="24"/>
      <c r="L85" s="24"/>
      <c r="M85" s="24"/>
      <c r="N85" s="24"/>
      <c r="O85" s="24"/>
      <c r="P85" s="24"/>
      <c r="Q85" s="24"/>
      <c r="R85" s="24"/>
      <c r="S85" s="24"/>
      <c r="T85" s="24"/>
      <c r="U85" s="24"/>
      <c r="V85" s="24"/>
      <c r="W85" s="24"/>
    </row>
    <row r="86" spans="2:23" x14ac:dyDescent="0.35">
      <c r="B86" s="84"/>
      <c r="C86" s="24"/>
      <c r="D86" s="24"/>
      <c r="E86" s="24"/>
      <c r="F86" s="24"/>
      <c r="G86" s="24"/>
      <c r="H86" s="24"/>
      <c r="I86" s="24"/>
      <c r="J86" s="24"/>
      <c r="K86" s="24"/>
      <c r="L86" s="24"/>
      <c r="M86" s="24"/>
      <c r="N86" s="24"/>
      <c r="O86" s="24"/>
      <c r="P86" s="24"/>
      <c r="Q86" s="24"/>
      <c r="R86" s="24"/>
      <c r="S86" s="24"/>
      <c r="T86" s="24"/>
      <c r="U86" s="24"/>
      <c r="V86" s="24"/>
      <c r="W86" s="24"/>
    </row>
    <row r="87" spans="2:23" x14ac:dyDescent="0.35">
      <c r="B87" s="84"/>
      <c r="C87" s="24"/>
      <c r="D87" s="24"/>
      <c r="E87" s="24"/>
      <c r="F87" s="24"/>
      <c r="G87" s="24"/>
      <c r="H87" s="24"/>
      <c r="I87" s="24"/>
      <c r="J87" s="24"/>
      <c r="K87" s="24"/>
      <c r="L87" s="24"/>
      <c r="M87" s="24"/>
      <c r="N87" s="24"/>
      <c r="O87" s="24"/>
      <c r="P87" s="24"/>
      <c r="Q87" s="24"/>
      <c r="R87" s="24"/>
      <c r="S87" s="24"/>
      <c r="T87" s="24"/>
      <c r="U87" s="24"/>
      <c r="V87" s="24"/>
      <c r="W87" s="24"/>
    </row>
    <row r="88" spans="2:23" x14ac:dyDescent="0.35">
      <c r="B88" s="84"/>
      <c r="C88" s="24"/>
      <c r="D88" s="24"/>
      <c r="E88" s="24"/>
      <c r="F88" s="24"/>
      <c r="G88" s="24"/>
      <c r="H88" s="24"/>
      <c r="I88" s="24"/>
      <c r="J88" s="24"/>
      <c r="K88" s="24"/>
      <c r="L88" s="24"/>
      <c r="M88" s="24"/>
      <c r="N88" s="24"/>
      <c r="O88" s="24"/>
      <c r="P88" s="24"/>
      <c r="Q88" s="24"/>
      <c r="R88" s="24"/>
      <c r="S88" s="24"/>
      <c r="T88" s="24"/>
      <c r="U88" s="24"/>
      <c r="V88" s="24"/>
      <c r="W88" s="24"/>
    </row>
  </sheetData>
  <mergeCells count="34">
    <mergeCell ref="A2:B2"/>
    <mergeCell ref="C2:K2"/>
    <mergeCell ref="A3:B3"/>
    <mergeCell ref="C3:K3"/>
    <mergeCell ref="A4:B4"/>
    <mergeCell ref="C4:K4"/>
    <mergeCell ref="A5:B5"/>
    <mergeCell ref="C5:K5"/>
    <mergeCell ref="A6:B6"/>
    <mergeCell ref="C6:K6"/>
    <mergeCell ref="A7:B7"/>
    <mergeCell ref="C7:K7"/>
    <mergeCell ref="A16:B16"/>
    <mergeCell ref="C16:K16"/>
    <mergeCell ref="A8:B8"/>
    <mergeCell ref="C8:K8"/>
    <mergeCell ref="A9:B9"/>
    <mergeCell ref="A10:B10"/>
    <mergeCell ref="C10:K10"/>
    <mergeCell ref="A11:B11"/>
    <mergeCell ref="C11:K11"/>
    <mergeCell ref="A12:B12"/>
    <mergeCell ref="A13:B13"/>
    <mergeCell ref="A14:B14"/>
    <mergeCell ref="A15:B15"/>
    <mergeCell ref="C15:K15"/>
    <mergeCell ref="B37:H44"/>
    <mergeCell ref="A17:B17"/>
    <mergeCell ref="A18:B18"/>
    <mergeCell ref="C18:K18"/>
    <mergeCell ref="A19:B19"/>
    <mergeCell ref="C19:K19"/>
    <mergeCell ref="A20:B20"/>
    <mergeCell ref="C20:K20"/>
  </mergeCells>
  <conditionalFormatting sqref="D26">
    <cfRule type="iconSet" priority="5">
      <iconSet iconSet="3Arrows">
        <cfvo type="percent" val="0"/>
        <cfvo type="percent" val="33"/>
        <cfvo type="percent" val="67"/>
      </iconSet>
    </cfRule>
  </conditionalFormatting>
  <conditionalFormatting sqref="K26">
    <cfRule type="cellIs" dxfId="5" priority="1" operator="lessThan">
      <formula>0</formula>
    </cfRule>
    <cfRule type="cellIs" dxfId="4" priority="2"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81666-FC24-4C58-B24F-F5590ADC41CF}">
  <dimension ref="B2:Q50"/>
  <sheetViews>
    <sheetView topLeftCell="A3" zoomScaleNormal="100" workbookViewId="0">
      <selection activeCell="C34" sqref="C34"/>
    </sheetView>
  </sheetViews>
  <sheetFormatPr defaultColWidth="8.7265625" defaultRowHeight="14.5" x14ac:dyDescent="0.35"/>
  <cols>
    <col min="1" max="1" width="3.81640625" style="1" customWidth="1"/>
    <col min="2" max="2" width="11.81640625" style="1" bestFit="1" customWidth="1"/>
    <col min="3" max="3" width="14.1796875" style="1" customWidth="1"/>
    <col min="4" max="4" width="14" style="1" customWidth="1"/>
    <col min="5" max="5" width="14.81640625" style="1" customWidth="1"/>
    <col min="6" max="6" width="17.26953125" style="1" customWidth="1"/>
    <col min="7" max="8" width="13.81640625" style="1" customWidth="1"/>
    <col min="9" max="9" width="18.54296875" style="1" customWidth="1"/>
    <col min="10" max="10" width="14" style="1" customWidth="1"/>
    <col min="11" max="11" width="22.453125" style="1" customWidth="1"/>
    <col min="12" max="12" width="24.453125" style="1" customWidth="1"/>
    <col min="13" max="13" width="8.7265625" style="1"/>
    <col min="14" max="14" width="19.81640625" style="1" customWidth="1"/>
    <col min="15" max="16384" width="8.7265625" style="1"/>
  </cols>
  <sheetData>
    <row r="2" spans="2:12" ht="15" thickBot="1" x14ac:dyDescent="0.4">
      <c r="C2" s="3"/>
      <c r="D2" s="3"/>
      <c r="E2" s="3"/>
      <c r="F2" s="3"/>
      <c r="G2" s="3"/>
      <c r="H2" s="3"/>
      <c r="I2" s="3"/>
      <c r="J2" s="3"/>
      <c r="K2" s="3"/>
      <c r="L2" s="3"/>
    </row>
    <row r="3" spans="2:12" x14ac:dyDescent="0.35">
      <c r="B3" s="9"/>
      <c r="C3" s="12"/>
      <c r="D3" s="12"/>
      <c r="E3" s="12"/>
      <c r="F3" s="12"/>
      <c r="G3" s="71" t="str" cm="1">
        <f t="array" aca="1" ref="G3:I3" ca="1">TEXT(EDATE(TODAY(),{0,-1,-2}),"mmmm")</f>
        <v>April</v>
      </c>
      <c r="H3" s="71" t="str">
        <f ca="1"/>
        <v>March</v>
      </c>
      <c r="I3" s="71" t="str">
        <f ca="1"/>
        <v>February</v>
      </c>
      <c r="J3" s="12"/>
      <c r="K3" s="8"/>
    </row>
    <row r="4" spans="2:12" s="47" customFormat="1" ht="43.5" customHeight="1" thickBot="1" x14ac:dyDescent="0.4">
      <c r="B4" s="42" t="s">
        <v>16</v>
      </c>
      <c r="C4" s="43" t="s">
        <v>17</v>
      </c>
      <c r="D4" s="44" t="s">
        <v>40</v>
      </c>
      <c r="E4" s="43" t="s">
        <v>19</v>
      </c>
      <c r="F4" s="44" t="s">
        <v>20</v>
      </c>
      <c r="G4" s="45" t="s">
        <v>41</v>
      </c>
      <c r="H4" s="46" t="s">
        <v>42</v>
      </c>
      <c r="I4" s="42" t="s">
        <v>43</v>
      </c>
      <c r="J4" s="44" t="s">
        <v>24</v>
      </c>
      <c r="K4" s="45" t="s">
        <v>25</v>
      </c>
    </row>
    <row r="5" spans="2:12" s="2" customFormat="1" ht="15" thickBot="1" x14ac:dyDescent="0.4">
      <c r="B5" s="13">
        <v>0</v>
      </c>
      <c r="C5" s="14">
        <v>0</v>
      </c>
      <c r="D5" s="69" t="str">
        <f>TEXT(MAX(20, VALUE(C5+1)),"$#,##0") &amp; " - " &amp; TEXT(0.22 * VALUE(B5) / 12,"$#,##0")</f>
        <v>$20 - $0</v>
      </c>
      <c r="E5" s="14">
        <v>0</v>
      </c>
      <c r="F5" s="62">
        <f>$E$5*3</f>
        <v>0</v>
      </c>
      <c r="G5" s="15">
        <v>0</v>
      </c>
      <c r="H5" s="16">
        <v>0</v>
      </c>
      <c r="I5" s="17">
        <v>0</v>
      </c>
      <c r="J5" s="63">
        <f>SUM($G$5:$I$5)</f>
        <v>0</v>
      </c>
      <c r="K5" s="70">
        <f>E5*3 - J5</f>
        <v>0</v>
      </c>
    </row>
    <row r="6" spans="2:12" s="54" customFormat="1" ht="14" thickBot="1" x14ac:dyDescent="0.35">
      <c r="B6" s="48"/>
      <c r="C6" s="49"/>
      <c r="D6" s="49"/>
      <c r="E6" s="49"/>
      <c r="F6" s="72" t="s">
        <v>26</v>
      </c>
      <c r="G6" s="50" t="s">
        <v>44</v>
      </c>
      <c r="H6" s="51" t="s">
        <v>45</v>
      </c>
      <c r="I6" s="52" t="s">
        <v>46</v>
      </c>
      <c r="J6" s="49"/>
      <c r="K6" s="53"/>
    </row>
    <row r="7" spans="2:12" ht="15" thickBot="1" x14ac:dyDescent="0.4">
      <c r="B7" s="10"/>
      <c r="C7" s="11"/>
      <c r="D7" s="11"/>
      <c r="E7" s="11"/>
      <c r="F7" s="4"/>
      <c r="G7" s="109"/>
      <c r="H7" s="109" t="str">
        <f>IF(G5&gt; 0, "proceed", " can't use ")</f>
        <v xml:space="preserve"> can't use </v>
      </c>
      <c r="I7" s="110" t="str">
        <f>IF(H5&gt; 0, "proceed", " can't use ")</f>
        <v xml:space="preserve"> can't use </v>
      </c>
      <c r="J7" s="11"/>
      <c r="K7" s="7"/>
    </row>
    <row r="22" spans="2:17" x14ac:dyDescent="0.35">
      <c r="I22" s="173" t="s">
        <v>30</v>
      </c>
      <c r="J22" s="173"/>
      <c r="K22" s="173"/>
    </row>
    <row r="23" spans="2:17" ht="15" thickBot="1" x14ac:dyDescent="0.4"/>
    <row r="24" spans="2:17" ht="23.25" customHeight="1" thickBot="1" x14ac:dyDescent="0.4">
      <c r="B24" s="20" t="s">
        <v>27</v>
      </c>
      <c r="C24" s="21" t="s">
        <v>27</v>
      </c>
      <c r="D24" s="21" t="s">
        <v>27</v>
      </c>
      <c r="E24" s="21" t="s">
        <v>28</v>
      </c>
      <c r="F24" s="22"/>
      <c r="G24" s="23" t="s">
        <v>29</v>
      </c>
      <c r="I24" s="127" t="str">
        <f xml:space="preserve"> "Please set TCP @ $" &amp; TEXT($E5,"0.00") &amp;
  " for the due dates of " &amp; TEXT($B25,"mm/dd/yy") &amp; ", " &amp; TEXT($C25,"mm/dd/yy") &amp; ", and " &amp; TEXT($D25,"mm/dd/yy") &amp;
  ". Payment will return to normal for the " &amp; TEXT($E25,"mm/dd/yy") &amp; " due date. " &amp;
  "Educated cust that this arrangement is only available once in 12 months or twice in 5 years. " &amp;
  "Cust understands account will be restricted during the TCP and if a payment is not met, the account will be removed from program and payments will return to normal. " &amp;
  "Customer understands interest rate will end on " &amp; TEXT($G25,"mm/dd/yy") &amp; ". (if low-rate program will expire) " &amp;
  "I confirm the account meets basic requirements. " &amp;
  "Qualifying payments: $" &amp; TEXT($G5,"0.00") &amp; " on " &amp; TEXT($G6,"mm/dd/yy") &amp; "; $" &amp; TEXT($H5,"0.00") &amp; " on " &amp; TEXT($H6,"mm/dd/yy") &amp; "; $" &amp; TEXT($I5,"0.00") &amp; " on " &amp; TEXT($I6,"mm/dd/yy") &amp;
  " (repeat as necessary). Name/ext"</f>
        <v>Please set TCP @ $0.00 for the due dates of 01/02/26, 02/02/26, and 03/03/26. Payment will return to normal for the 04/04/26 due date. Educated cust that this arrangement is only available once in 12 months or twice in 5 years. Cust understands account will be restricted during the TCP and if a payment is not met, the account will be removed from program and payments will return to normal. Customer understands interest rate will end on 05/05/26. (if low-rate program will expire) I confirm the account meets basic requirements. Qualifying payments: $0.00 on 02/02/26; $0.00 on 01/20/26; $0.00 on 12/25/25 (repeat as necessary). Name/ext</v>
      </c>
      <c r="J24" s="127"/>
      <c r="K24" s="127"/>
      <c r="L24" s="127"/>
      <c r="M24" s="127"/>
      <c r="N24" s="27"/>
      <c r="O24" s="27"/>
      <c r="P24" s="27"/>
      <c r="Q24" s="27"/>
    </row>
    <row r="25" spans="2:17" ht="15" thickBot="1" x14ac:dyDescent="0.4">
      <c r="B25" s="18">
        <v>46024</v>
      </c>
      <c r="C25" s="19">
        <v>46055</v>
      </c>
      <c r="D25" s="19">
        <v>46084</v>
      </c>
      <c r="E25" s="19">
        <v>46116</v>
      </c>
      <c r="F25" s="6"/>
      <c r="G25" s="5">
        <v>46147</v>
      </c>
      <c r="I25" s="127"/>
      <c r="J25" s="127"/>
      <c r="K25" s="127"/>
      <c r="L25" s="127"/>
      <c r="M25" s="127"/>
      <c r="N25" s="27"/>
      <c r="O25" s="27"/>
      <c r="P25" s="27"/>
      <c r="Q25" s="27"/>
    </row>
    <row r="26" spans="2:17" ht="15" customHeight="1" x14ac:dyDescent="0.35">
      <c r="I26" s="127"/>
      <c r="J26" s="127"/>
      <c r="K26" s="127"/>
      <c r="L26" s="127"/>
      <c r="M26" s="127"/>
      <c r="N26" s="27"/>
      <c r="O26" s="27"/>
      <c r="P26" s="27"/>
      <c r="Q26" s="27"/>
    </row>
    <row r="27" spans="2:17" x14ac:dyDescent="0.35">
      <c r="I27" s="127"/>
      <c r="J27" s="127"/>
      <c r="K27" s="127"/>
      <c r="L27" s="127"/>
      <c r="M27" s="127"/>
      <c r="N27" s="27"/>
      <c r="O27" s="27"/>
      <c r="P27" s="27"/>
      <c r="Q27" s="27"/>
    </row>
    <row r="28" spans="2:17" x14ac:dyDescent="0.35">
      <c r="G28"/>
      <c r="I28" s="127"/>
      <c r="J28" s="127"/>
      <c r="K28" s="127"/>
      <c r="L28" s="127"/>
      <c r="M28" s="127"/>
      <c r="N28" s="27"/>
      <c r="O28" s="27"/>
      <c r="P28" s="27"/>
      <c r="Q28" s="27"/>
    </row>
    <row r="29" spans="2:17" x14ac:dyDescent="0.35">
      <c r="I29" s="127"/>
      <c r="J29" s="127"/>
      <c r="K29" s="127"/>
      <c r="L29" s="127"/>
      <c r="M29" s="127"/>
      <c r="N29" s="27"/>
      <c r="O29" s="27"/>
      <c r="P29" s="27"/>
      <c r="Q29" s="27"/>
    </row>
    <row r="30" spans="2:17" x14ac:dyDescent="0.35">
      <c r="I30" s="127"/>
      <c r="J30" s="127"/>
      <c r="K30" s="127"/>
      <c r="L30" s="127"/>
      <c r="M30" s="127"/>
      <c r="N30" s="27"/>
      <c r="O30" s="27"/>
      <c r="P30" s="27"/>
      <c r="Q30" s="27"/>
    </row>
    <row r="31" spans="2:17" x14ac:dyDescent="0.35">
      <c r="I31" s="127"/>
      <c r="J31" s="127"/>
      <c r="K31" s="127"/>
      <c r="L31" s="127"/>
      <c r="M31" s="127"/>
      <c r="N31" s="27"/>
      <c r="O31" s="27"/>
    </row>
    <row r="32" spans="2:17" x14ac:dyDescent="0.35">
      <c r="I32" s="27"/>
      <c r="J32" s="27"/>
      <c r="K32" s="27"/>
      <c r="L32" s="27"/>
      <c r="M32" s="27"/>
      <c r="N32" s="27"/>
      <c r="O32" s="27"/>
    </row>
    <row r="33" spans="9:17" x14ac:dyDescent="0.35">
      <c r="I33" s="27"/>
      <c r="J33" s="27"/>
      <c r="K33" s="27"/>
      <c r="L33" s="27"/>
      <c r="M33" s="27"/>
      <c r="N33" s="27"/>
      <c r="O33" s="27"/>
    </row>
    <row r="34" spans="9:17" x14ac:dyDescent="0.35">
      <c r="I34" s="27"/>
      <c r="J34" s="27"/>
      <c r="K34" s="27"/>
      <c r="L34" s="27"/>
      <c r="M34" s="27"/>
      <c r="N34" s="27"/>
      <c r="O34" s="27"/>
    </row>
    <row r="35" spans="9:17" x14ac:dyDescent="0.35">
      <c r="I35" s="27"/>
      <c r="J35" s="27"/>
      <c r="K35" s="27"/>
      <c r="L35" s="27"/>
      <c r="M35" s="27"/>
      <c r="N35" s="27"/>
      <c r="O35" s="27"/>
    </row>
    <row r="36" spans="9:17" x14ac:dyDescent="0.35">
      <c r="I36" s="27"/>
      <c r="J36" s="27"/>
      <c r="K36" s="27"/>
      <c r="L36" s="27"/>
      <c r="M36" s="27"/>
      <c r="N36" s="27"/>
      <c r="O36" s="27"/>
    </row>
    <row r="37" spans="9:17" x14ac:dyDescent="0.35">
      <c r="I37" s="27"/>
      <c r="J37" s="27"/>
      <c r="K37" s="27"/>
      <c r="L37" s="27"/>
      <c r="M37" s="27"/>
      <c r="N37" s="27"/>
      <c r="O37" s="27"/>
    </row>
    <row r="38" spans="9:17" x14ac:dyDescent="0.35">
      <c r="I38" s="27"/>
      <c r="J38" s="27"/>
      <c r="K38" s="27"/>
      <c r="L38" s="27"/>
      <c r="M38" s="27"/>
      <c r="N38" s="27"/>
      <c r="O38" s="27"/>
    </row>
    <row r="39" spans="9:17" x14ac:dyDescent="0.35">
      <c r="I39" s="27"/>
      <c r="J39" s="27"/>
      <c r="K39" s="27"/>
      <c r="L39" s="27"/>
      <c r="M39" s="27"/>
      <c r="N39" s="27"/>
      <c r="O39" s="27"/>
    </row>
    <row r="40" spans="9:17" x14ac:dyDescent="0.35">
      <c r="I40" s="27"/>
      <c r="J40" s="27"/>
      <c r="K40" s="27"/>
      <c r="L40" s="27"/>
      <c r="M40" s="27"/>
      <c r="N40" s="27"/>
      <c r="O40" s="27"/>
    </row>
    <row r="41" spans="9:17" x14ac:dyDescent="0.35">
      <c r="I41" s="27"/>
      <c r="J41" s="27"/>
      <c r="K41" s="27"/>
      <c r="L41" s="27"/>
      <c r="M41" s="27"/>
      <c r="N41" s="27"/>
      <c r="O41" s="27"/>
    </row>
    <row r="42" spans="9:17" x14ac:dyDescent="0.35">
      <c r="I42" s="27"/>
      <c r="J42" s="27"/>
      <c r="K42" s="27"/>
      <c r="L42" s="27"/>
      <c r="M42" s="27"/>
      <c r="N42" s="27"/>
      <c r="O42" s="27"/>
    </row>
    <row r="43" spans="9:17" x14ac:dyDescent="0.35">
      <c r="I43" s="26"/>
      <c r="J43" s="26"/>
      <c r="K43" s="26"/>
      <c r="L43" s="26"/>
    </row>
    <row r="44" spans="9:17" x14ac:dyDescent="0.35">
      <c r="I44" s="26"/>
      <c r="J44" s="26"/>
      <c r="K44" s="26"/>
      <c r="L44" s="26"/>
    </row>
    <row r="45" spans="9:17" x14ac:dyDescent="0.35">
      <c r="I45" s="26"/>
      <c r="J45" s="26"/>
      <c r="K45" s="26"/>
      <c r="L45" s="26"/>
    </row>
    <row r="46" spans="9:17" x14ac:dyDescent="0.35">
      <c r="I46" s="26"/>
      <c r="J46" s="26"/>
      <c r="K46" s="26"/>
      <c r="L46" s="26"/>
    </row>
    <row r="47" spans="9:17" x14ac:dyDescent="0.35">
      <c r="N47" s="26"/>
      <c r="O47" s="26"/>
      <c r="P47" s="26"/>
      <c r="Q47" s="26"/>
    </row>
    <row r="48" spans="9:17" x14ac:dyDescent="0.35">
      <c r="N48" s="26"/>
      <c r="O48" s="26"/>
      <c r="P48" s="26"/>
      <c r="Q48" s="26"/>
    </row>
    <row r="49" spans="14:17" x14ac:dyDescent="0.35">
      <c r="N49" s="26"/>
      <c r="O49" s="26"/>
      <c r="P49" s="26"/>
      <c r="Q49" s="26"/>
    </row>
    <row r="50" spans="14:17" x14ac:dyDescent="0.35">
      <c r="N50" s="26"/>
      <c r="O50" s="26"/>
      <c r="P50" s="26"/>
      <c r="Q50" s="26"/>
    </row>
  </sheetData>
  <mergeCells count="2">
    <mergeCell ref="I22:K22"/>
    <mergeCell ref="I24:M31"/>
  </mergeCells>
  <conditionalFormatting sqref="K5">
    <cfRule type="cellIs" dxfId="3" priority="1" operator="lessThan">
      <formula>0</formula>
    </cfRule>
    <cfRule type="cellIs" dxfId="2" priority="2" operator="greaterThan">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62CE-AF25-490E-B7AA-C0FD94678CCA}">
  <dimension ref="A1:Y86"/>
  <sheetViews>
    <sheetView tabSelected="1" topLeftCell="A19" zoomScaleNormal="100" workbookViewId="0">
      <selection activeCell="B35" sqref="B35:H42"/>
    </sheetView>
  </sheetViews>
  <sheetFormatPr defaultColWidth="8.7265625" defaultRowHeight="14.5" x14ac:dyDescent="0.35"/>
  <cols>
    <col min="1" max="1" width="8.7265625" style="24"/>
    <col min="2" max="2" width="12.81640625" style="114" customWidth="1"/>
    <col min="3" max="3" width="15.81640625" style="1" customWidth="1"/>
    <col min="4" max="4" width="19" style="1" customWidth="1"/>
    <col min="5" max="5" width="16.453125" style="1" customWidth="1"/>
    <col min="6" max="7" width="13.81640625" style="1" customWidth="1"/>
    <col min="8" max="8" width="14.1796875" style="1" customWidth="1"/>
    <col min="9" max="9" width="14" style="1" customWidth="1"/>
    <col min="10" max="10" width="17.26953125" style="1" customWidth="1"/>
    <col min="11" max="11" width="20.1796875" style="1" customWidth="1"/>
    <col min="12" max="12" width="9.1796875" style="1" bestFit="1" customWidth="1"/>
    <col min="13" max="16384" width="8.7265625" style="1"/>
  </cols>
  <sheetData>
    <row r="1" spans="1:11" s="24" customFormat="1" x14ac:dyDescent="0.35">
      <c r="B1" s="84"/>
    </row>
    <row r="2" spans="1:11" s="24" customFormat="1" x14ac:dyDescent="0.35">
      <c r="A2" s="126"/>
      <c r="B2" s="131" t="s">
        <v>0</v>
      </c>
      <c r="C2" s="132"/>
      <c r="D2" s="132"/>
      <c r="E2" s="132"/>
      <c r="F2" s="132"/>
      <c r="G2" s="132"/>
      <c r="H2" s="132"/>
      <c r="I2" s="132"/>
      <c r="J2" s="132"/>
      <c r="K2" s="133"/>
    </row>
    <row r="3" spans="1:11" s="24" customFormat="1" ht="14.5" customHeight="1" x14ac:dyDescent="0.35">
      <c r="A3" s="125"/>
      <c r="B3" s="128" t="s">
        <v>1</v>
      </c>
      <c r="C3" s="129"/>
      <c r="D3" s="129"/>
      <c r="E3" s="129"/>
      <c r="F3" s="129"/>
      <c r="G3" s="129"/>
      <c r="H3" s="129"/>
      <c r="I3" s="129"/>
      <c r="J3" s="129"/>
      <c r="K3" s="130"/>
    </row>
    <row r="4" spans="1:11" s="24" customFormat="1" ht="24" customHeight="1" x14ac:dyDescent="0.35">
      <c r="A4" s="125"/>
      <c r="B4" s="128" t="s">
        <v>2</v>
      </c>
      <c r="C4" s="129"/>
      <c r="D4" s="129"/>
      <c r="E4" s="129"/>
      <c r="F4" s="129"/>
      <c r="G4" s="129"/>
      <c r="H4" s="129"/>
      <c r="I4" s="129"/>
      <c r="J4" s="129"/>
      <c r="K4" s="130"/>
    </row>
    <row r="5" spans="1:11" s="24" customFormat="1" ht="20" customHeight="1" x14ac:dyDescent="0.35">
      <c r="A5" s="125"/>
      <c r="B5" s="128" t="s">
        <v>3</v>
      </c>
      <c r="C5" s="129"/>
      <c r="D5" s="129"/>
      <c r="E5" s="129"/>
      <c r="F5" s="129"/>
      <c r="G5" s="129"/>
      <c r="H5" s="129"/>
      <c r="I5" s="129"/>
      <c r="J5" s="129"/>
      <c r="K5" s="130"/>
    </row>
    <row r="6" spans="1:11" s="24" customFormat="1" ht="19" customHeight="1" x14ac:dyDescent="0.35">
      <c r="A6" s="125"/>
      <c r="B6" s="128" t="s">
        <v>4</v>
      </c>
      <c r="C6" s="129"/>
      <c r="D6" s="129"/>
      <c r="E6" s="129"/>
      <c r="F6" s="129"/>
      <c r="G6" s="129"/>
      <c r="H6" s="129"/>
      <c r="I6" s="129"/>
      <c r="J6" s="129"/>
      <c r="K6" s="130"/>
    </row>
    <row r="7" spans="1:11" s="24" customFormat="1" ht="22" customHeight="1" x14ac:dyDescent="0.35">
      <c r="A7" s="125"/>
      <c r="B7" s="128" t="s">
        <v>5</v>
      </c>
      <c r="C7" s="129"/>
      <c r="D7" s="129"/>
      <c r="E7" s="129"/>
      <c r="F7" s="129"/>
      <c r="G7" s="129"/>
      <c r="H7" s="129"/>
      <c r="I7" s="129"/>
      <c r="J7" s="129"/>
      <c r="K7" s="130"/>
    </row>
    <row r="8" spans="1:11" s="24" customFormat="1" ht="23" customHeight="1" x14ac:dyDescent="0.35">
      <c r="A8" s="125"/>
      <c r="B8" s="128" t="s">
        <v>6</v>
      </c>
      <c r="C8" s="129"/>
      <c r="D8" s="129"/>
      <c r="E8" s="129"/>
      <c r="F8" s="129"/>
      <c r="G8" s="129"/>
      <c r="H8" s="129"/>
      <c r="I8" s="129"/>
      <c r="J8" s="129"/>
      <c r="K8" s="130"/>
    </row>
    <row r="9" spans="1:11" s="24" customFormat="1" ht="19" customHeight="1" x14ac:dyDescent="0.35">
      <c r="A9" s="125"/>
      <c r="B9" s="128" t="s">
        <v>32</v>
      </c>
      <c r="C9" s="129"/>
      <c r="D9" s="129"/>
      <c r="E9" s="129"/>
      <c r="F9" s="129"/>
      <c r="G9" s="129"/>
      <c r="H9" s="129"/>
      <c r="I9" s="129"/>
      <c r="J9" s="129"/>
      <c r="K9" s="130"/>
    </row>
    <row r="10" spans="1:11" s="24" customFormat="1" ht="35.5" customHeight="1" x14ac:dyDescent="0.35">
      <c r="A10" s="125"/>
      <c r="B10" s="128" t="s">
        <v>47</v>
      </c>
      <c r="C10" s="129"/>
      <c r="D10" s="129"/>
      <c r="E10" s="129"/>
      <c r="F10" s="129"/>
      <c r="G10" s="129"/>
      <c r="H10" s="129"/>
      <c r="I10" s="129"/>
      <c r="J10" s="129"/>
      <c r="K10" s="130"/>
    </row>
    <row r="11" spans="1:11" s="24" customFormat="1" x14ac:dyDescent="0.35">
      <c r="A11" s="126"/>
      <c r="B11" s="134"/>
      <c r="C11" s="134"/>
      <c r="D11" s="134"/>
      <c r="E11" s="134"/>
      <c r="F11" s="134"/>
      <c r="G11" s="134"/>
      <c r="H11" s="134"/>
      <c r="I11" s="134"/>
      <c r="J11" s="134"/>
      <c r="K11" s="134"/>
    </row>
    <row r="12" spans="1:11" s="24" customFormat="1" x14ac:dyDescent="0.35">
      <c r="A12" s="126"/>
      <c r="B12" s="131" t="s">
        <v>48</v>
      </c>
      <c r="C12" s="132"/>
      <c r="D12" s="132"/>
      <c r="E12" s="132"/>
      <c r="F12" s="132"/>
      <c r="G12" s="132"/>
      <c r="H12" s="132"/>
      <c r="I12" s="132"/>
      <c r="J12" s="132"/>
      <c r="K12" s="133"/>
    </row>
    <row r="13" spans="1:11" s="24" customFormat="1" ht="14.5" customHeight="1" x14ac:dyDescent="0.35">
      <c r="A13" s="125"/>
      <c r="B13" s="128" t="s">
        <v>10</v>
      </c>
      <c r="C13" s="129"/>
      <c r="D13" s="129"/>
      <c r="E13" s="129"/>
      <c r="F13" s="129"/>
      <c r="G13" s="129"/>
      <c r="H13" s="129"/>
      <c r="I13" s="129"/>
      <c r="J13" s="129"/>
      <c r="K13" s="130"/>
    </row>
    <row r="14" spans="1:11" s="24" customFormat="1" ht="14.5" hidden="1" customHeight="1" x14ac:dyDescent="0.35">
      <c r="A14" s="125"/>
      <c r="B14" s="135"/>
      <c r="C14" s="136"/>
      <c r="D14" s="136"/>
      <c r="E14" s="136"/>
      <c r="F14" s="136"/>
      <c r="G14" s="136"/>
      <c r="H14" s="136"/>
      <c r="I14" s="136"/>
      <c r="J14" s="136"/>
      <c r="K14" s="137"/>
    </row>
    <row r="15" spans="1:11" s="24" customFormat="1" x14ac:dyDescent="0.35">
      <c r="A15" s="125"/>
      <c r="B15" s="138" t="s">
        <v>11</v>
      </c>
      <c r="C15" s="139"/>
      <c r="D15" s="139"/>
      <c r="E15" s="139"/>
      <c r="F15" s="139"/>
      <c r="G15" s="139"/>
      <c r="H15" s="139"/>
      <c r="I15" s="139"/>
      <c r="J15" s="139"/>
      <c r="K15" s="140"/>
    </row>
    <row r="16" spans="1:11" s="24" customFormat="1" ht="22.5" customHeight="1" x14ac:dyDescent="0.35">
      <c r="A16" s="125"/>
      <c r="B16" s="128" t="s">
        <v>33</v>
      </c>
      <c r="C16" s="129"/>
      <c r="D16" s="129"/>
      <c r="E16" s="129"/>
      <c r="F16" s="129"/>
      <c r="G16" s="129"/>
      <c r="H16" s="129"/>
      <c r="I16" s="129"/>
      <c r="J16" s="129"/>
      <c r="K16" s="130"/>
    </row>
    <row r="17" spans="1:25" s="24" customFormat="1" ht="25.5" customHeight="1" x14ac:dyDescent="0.35">
      <c r="A17" s="125"/>
      <c r="B17" s="128" t="s">
        <v>13</v>
      </c>
      <c r="C17" s="129"/>
      <c r="D17" s="129"/>
      <c r="E17" s="129"/>
      <c r="F17" s="129"/>
      <c r="G17" s="129"/>
      <c r="H17" s="129"/>
      <c r="I17" s="129"/>
      <c r="J17" s="129"/>
      <c r="K17" s="130"/>
    </row>
    <row r="18" spans="1:25" s="24" customFormat="1" ht="33.5" customHeight="1" x14ac:dyDescent="0.35">
      <c r="A18" s="125"/>
      <c r="B18" s="128" t="s">
        <v>14</v>
      </c>
      <c r="C18" s="129"/>
      <c r="D18" s="129"/>
      <c r="E18" s="129"/>
      <c r="F18" s="129"/>
      <c r="G18" s="129"/>
      <c r="H18" s="129"/>
      <c r="I18" s="129"/>
      <c r="J18" s="129"/>
      <c r="K18" s="130"/>
    </row>
    <row r="19" spans="1:25" s="24" customFormat="1" ht="17.5" customHeight="1" x14ac:dyDescent="0.35">
      <c r="A19" s="84"/>
    </row>
    <row r="20" spans="1:25" s="24" customFormat="1" ht="13" customHeight="1" x14ac:dyDescent="0.35">
      <c r="A20" s="84"/>
    </row>
    <row r="21" spans="1:25" s="24" customFormat="1" ht="16" x14ac:dyDescent="0.35">
      <c r="B21" s="91"/>
      <c r="C21" s="92"/>
      <c r="D21" s="74" t="s">
        <v>34</v>
      </c>
      <c r="E21" s="92"/>
      <c r="F21" s="92"/>
      <c r="G21" s="92"/>
      <c r="H21" s="92"/>
      <c r="I21" s="92"/>
      <c r="J21" s="92"/>
      <c r="K21" s="92"/>
    </row>
    <row r="22" spans="1:25" s="24" customFormat="1" x14ac:dyDescent="0.35">
      <c r="B22" s="93"/>
      <c r="C22" s="94"/>
      <c r="D22" s="95"/>
      <c r="E22" s="96"/>
      <c r="F22" s="96"/>
      <c r="G22" s="97" t="str" cm="1">
        <f t="array" aca="1" ref="G22:I22" ca="1">TEXT(EDATE(TODAY(),{0,-1,-2}),"mmmm")</f>
        <v>April</v>
      </c>
      <c r="H22" s="97" t="str">
        <f ca="1"/>
        <v>March</v>
      </c>
      <c r="I22" s="97" t="str">
        <f ca="1"/>
        <v>February</v>
      </c>
      <c r="J22" s="96"/>
      <c r="K22" s="98"/>
    </row>
    <row r="23" spans="1:25" s="24" customFormat="1" ht="60.65" customHeight="1" x14ac:dyDescent="0.35">
      <c r="B23" s="99" t="s">
        <v>35</v>
      </c>
      <c r="C23" s="29" t="s">
        <v>17</v>
      </c>
      <c r="D23" s="30" t="s">
        <v>36</v>
      </c>
      <c r="E23" s="29" t="s">
        <v>19</v>
      </c>
      <c r="F23" s="30" t="s">
        <v>20</v>
      </c>
      <c r="G23" s="31" t="s">
        <v>21</v>
      </c>
      <c r="H23" s="75" t="s">
        <v>22</v>
      </c>
      <c r="I23" s="28" t="s">
        <v>23</v>
      </c>
      <c r="J23" s="30" t="s">
        <v>24</v>
      </c>
      <c r="K23" s="31" t="s">
        <v>25</v>
      </c>
      <c r="L23" s="122" t="str">
        <f>_xlfn.TEXTJOIN(", ", TRUE, IF(AND(B31&lt;&gt;"", B31&lt;&gt;"00/00/0000", B31&lt;&gt;0), TEXT(B31,"mm/dd/yy"), ""), IF(AND(C31&lt;&gt;"", C31&lt;&gt;"00/00/0000", C31&lt;&gt;0), TEXT(C31,"mm/dd/yy"), ""), IF(AND(D31&lt;&gt;"", D31&lt;&gt;"00/00/0000", D31&lt;&gt;0), TEXT(D31,"mm/dd/yy"), ""))</f>
        <v/>
      </c>
    </row>
    <row r="24" spans="1:25" s="25" customFormat="1" x14ac:dyDescent="0.35">
      <c r="B24" s="32">
        <v>0</v>
      </c>
      <c r="C24" s="33">
        <v>0</v>
      </c>
      <c r="D24" s="100" t="str">
        <f>IF(OR(B24=0, B24=""), TEXT(MAX(20, VALUE(C24)+1),"$#,##0"), IF(B24/2 &lt; MAX(20, VALUE(C24)+1), TEXT(MAX(20, VALUE(C24)+1),"$#,##0"), TEXT(MAX(20, VALUE(C24)+1),"$#,##0") &amp; " - " &amp; TEXT(B24,"$#,##0")) )</f>
        <v>$20</v>
      </c>
      <c r="E24" s="33">
        <v>0</v>
      </c>
      <c r="F24" s="65">
        <f>$E$24*3</f>
        <v>0</v>
      </c>
      <c r="G24" s="34">
        <v>0</v>
      </c>
      <c r="H24" s="35">
        <v>0</v>
      </c>
      <c r="I24" s="36">
        <v>0</v>
      </c>
      <c r="J24" s="66">
        <f>SUM($G$24:$I$24)</f>
        <v>0</v>
      </c>
      <c r="K24" s="101">
        <f>E24*3 - J24</f>
        <v>0</v>
      </c>
      <c r="L24" s="123" t="str">
        <f>_xlfn.TEXTJOIN(", ", TRUE, IF(G31&gt;1, TEXT(G31,"mm/dd/yy"), ""), IF(H31&gt;1, TEXT(H31,"mm/dd/yy"), ""), IF(I31&gt;1, TEXT(I31,"mm/dd/yy"), ""))</f>
        <v/>
      </c>
    </row>
    <row r="25" spans="1:25" s="24" customFormat="1" ht="21.5" x14ac:dyDescent="0.35">
      <c r="B25" s="102"/>
      <c r="C25" s="103"/>
      <c r="D25" s="104"/>
      <c r="E25" s="103"/>
      <c r="F25" s="105" t="s">
        <v>26</v>
      </c>
      <c r="G25" s="40">
        <v>0</v>
      </c>
      <c r="H25" s="41">
        <v>0</v>
      </c>
      <c r="I25" s="39">
        <v>0</v>
      </c>
      <c r="J25" s="103"/>
      <c r="K25" s="115" t="s">
        <v>37</v>
      </c>
      <c r="L25" s="124" t="str">
        <f>_xlfn.TEXTJOIN("; ", TRUE, IF(G25&gt;1, TEXT(G24,"$#,##0.00")&amp;" on "&amp;TEXT(G25,"mm/dd/yy"), ""), IF(H25&gt;1, TEXT(H24,"$#,##0.00")&amp;" on "&amp;TEXT(H25,"mm/dd/yy"), ""), IF(I25&gt;1, TEXT(I24,"$#,##0.00")&amp;" on "&amp;TEXT(I25,"mm/dd/yy"), ""))</f>
        <v/>
      </c>
    </row>
    <row r="26" spans="1:25" s="24" customFormat="1" x14ac:dyDescent="0.35">
      <c r="B26" s="106"/>
      <c r="C26" s="107"/>
      <c r="D26" s="107"/>
      <c r="E26" s="107"/>
      <c r="F26" s="108"/>
      <c r="G26" s="109"/>
      <c r="H26" s="109" t="str">
        <f>IF(G24&gt; 0, "proceed", " can't use ")</f>
        <v xml:space="preserve"> can't use </v>
      </c>
      <c r="I26" s="110" t="str">
        <f>IF(H24&gt; 0, "proceed", " can't use ")</f>
        <v xml:space="preserve"> can't use </v>
      </c>
      <c r="J26" s="107"/>
      <c r="K26" s="116" t="s">
        <v>38</v>
      </c>
    </row>
    <row r="27" spans="1:25" s="24" customFormat="1" x14ac:dyDescent="0.35">
      <c r="B27" s="84"/>
    </row>
    <row r="28" spans="1:25" s="24" customFormat="1" x14ac:dyDescent="0.35">
      <c r="B28" s="84"/>
    </row>
    <row r="29" spans="1:25" s="24" customFormat="1" x14ac:dyDescent="0.35">
      <c r="B29" s="84"/>
    </row>
    <row r="30" spans="1:25" ht="23.25" customHeight="1" x14ac:dyDescent="0.35">
      <c r="B30" s="111" t="s">
        <v>27</v>
      </c>
      <c r="C30" s="21" t="s">
        <v>27</v>
      </c>
      <c r="D30" s="21" t="s">
        <v>27</v>
      </c>
      <c r="E30" s="21" t="s">
        <v>28</v>
      </c>
      <c r="F30" s="22"/>
      <c r="H30" s="23" t="s">
        <v>29</v>
      </c>
      <c r="I30" s="24"/>
      <c r="J30" s="56"/>
      <c r="K30" s="56"/>
      <c r="L30" s="56"/>
      <c r="M30" s="56"/>
      <c r="N30" s="56"/>
      <c r="O30" s="24"/>
      <c r="P30" s="24"/>
      <c r="Q30" s="24"/>
      <c r="R30" s="24"/>
      <c r="S30" s="24"/>
      <c r="T30" s="24"/>
      <c r="U30" s="24"/>
      <c r="V30" s="24"/>
      <c r="W30" s="24"/>
      <c r="X30" s="24"/>
      <c r="Y30" s="24"/>
    </row>
    <row r="31" spans="1:25" x14ac:dyDescent="0.35">
      <c r="B31" s="112">
        <v>0</v>
      </c>
      <c r="C31" s="38">
        <v>0</v>
      </c>
      <c r="D31" s="38">
        <v>0</v>
      </c>
      <c r="E31" s="38">
        <v>0</v>
      </c>
      <c r="F31" s="113"/>
      <c r="G31" s="39">
        <v>0</v>
      </c>
      <c r="H31" s="39">
        <v>0</v>
      </c>
      <c r="I31" s="39">
        <v>0</v>
      </c>
      <c r="J31" s="56"/>
      <c r="K31" s="56"/>
      <c r="L31" s="56"/>
      <c r="M31" s="56"/>
      <c r="N31" s="56"/>
      <c r="O31" s="24"/>
      <c r="P31" s="24"/>
      <c r="Q31" s="24"/>
      <c r="R31" s="24"/>
      <c r="S31" s="24"/>
      <c r="T31" s="24"/>
      <c r="U31" s="24"/>
      <c r="V31" s="24"/>
      <c r="W31" s="24"/>
      <c r="X31" s="24"/>
      <c r="Y31" s="24"/>
    </row>
    <row r="32" spans="1:25" x14ac:dyDescent="0.35">
      <c r="B32" s="84"/>
      <c r="C32" s="24"/>
      <c r="D32" s="24"/>
      <c r="E32" s="24"/>
      <c r="F32" s="24"/>
      <c r="G32" s="24"/>
      <c r="H32" s="24"/>
      <c r="I32" s="56"/>
      <c r="J32" s="56"/>
      <c r="K32" s="56"/>
      <c r="L32" s="56"/>
      <c r="M32" s="56"/>
      <c r="N32" s="56"/>
      <c r="O32" s="24"/>
      <c r="P32" s="24"/>
      <c r="Q32" s="24"/>
      <c r="R32" s="24"/>
      <c r="S32" s="24"/>
      <c r="T32" s="24"/>
      <c r="U32" s="24"/>
      <c r="V32" s="24"/>
      <c r="W32" s="24"/>
      <c r="X32" s="24"/>
      <c r="Y32" s="24"/>
    </row>
    <row r="33" spans="2:25" x14ac:dyDescent="0.35">
      <c r="B33" s="84"/>
      <c r="C33" s="24"/>
      <c r="D33" s="55" t="s">
        <v>30</v>
      </c>
      <c r="E33" s="24"/>
      <c r="F33" s="24"/>
      <c r="G33" s="24"/>
      <c r="H33" s="24"/>
      <c r="I33" s="56"/>
      <c r="J33" s="56"/>
      <c r="K33" s="56"/>
      <c r="L33" s="56"/>
      <c r="M33" s="56"/>
      <c r="N33" s="56"/>
      <c r="O33" s="24"/>
      <c r="P33" s="24"/>
      <c r="Q33" s="24"/>
      <c r="R33" s="24"/>
      <c r="S33" s="24"/>
      <c r="T33" s="24"/>
      <c r="U33" s="24"/>
      <c r="V33" s="24"/>
      <c r="W33" s="24"/>
      <c r="X33" s="24"/>
      <c r="Y33" s="24"/>
    </row>
    <row r="34" spans="2:25" x14ac:dyDescent="0.35">
      <c r="B34" s="84"/>
      <c r="C34" s="24"/>
      <c r="D34" s="24"/>
      <c r="E34" s="24"/>
      <c r="F34" s="24"/>
      <c r="G34" s="24"/>
      <c r="H34" s="24"/>
      <c r="I34" s="56"/>
      <c r="J34" s="56"/>
      <c r="K34" s="56"/>
      <c r="L34" s="56"/>
      <c r="M34" s="56"/>
      <c r="N34" s="56"/>
      <c r="O34" s="24"/>
      <c r="P34" s="24"/>
      <c r="Q34" s="24"/>
      <c r="R34" s="24"/>
      <c r="S34" s="24"/>
      <c r="T34" s="24"/>
      <c r="U34" s="24"/>
      <c r="V34" s="24"/>
      <c r="W34" s="24"/>
      <c r="X34" s="24"/>
      <c r="Y34" s="24"/>
    </row>
    <row r="35" spans="2:25" ht="15" customHeight="1" x14ac:dyDescent="0.35">
      <c r="B35" s="127" t="str">
        <f>"Please set TCP @ "&amp;TEXT(E24,"$0.00")&amp;" for the due dates of "&amp;IF(L23&lt;&gt;"",L23,"[enter dates]")&amp;". Payment will return to normal for the "&amp;IF(AND(E31&lt;&gt;"",E31&lt;&gt;"00/00/0000",E31&lt;&gt;0),TEXT(E31,"mm/dd/yy"),"[date]")&amp;_xlfn._LONGTEXT(" due date. Educated cust that this arrangement is only available once in 12 months or twice in 5 years. Cust understands account will be restricted during the TCP and if a payment is not met, the account will be removed from program and payments will retu","rn to normal.")&amp;IF(L24&lt;&gt;"", " Customer understands interest rate will end on "&amp;L24&amp;".", "")&amp;" (if low-rate program will expire) I confirm the account meets basic requirements."&amp;IF(L25&lt;&gt;"", " Qualifying payments: "&amp;L25&amp;".", "")&amp;" Name/ext"</f>
        <v>Please set TCP @ $0.00 for the due dates of [enter dates]. Payment will return to normal for the [date] due date. Educated cust that this arrangement is only available once in 12 months or twice in 5 years. Cust understands account will be restricted during the TCP and if a payment is not met, the account will be removed from program and payments will return to normal. (if low-rate program will expire) I confirm the account meets basic requirements. Name/ext</v>
      </c>
      <c r="C35" s="127"/>
      <c r="D35" s="127"/>
      <c r="E35" s="127"/>
      <c r="F35" s="127"/>
      <c r="G35" s="127"/>
      <c r="H35" s="127"/>
      <c r="I35" s="56"/>
      <c r="J35" s="56"/>
      <c r="K35" s="56"/>
      <c r="L35" s="56"/>
      <c r="M35" s="56"/>
      <c r="N35" s="56"/>
      <c r="O35" s="24"/>
      <c r="P35" s="24"/>
      <c r="Q35" s="24"/>
      <c r="R35" s="24"/>
      <c r="S35" s="24"/>
      <c r="T35" s="24"/>
      <c r="U35" s="24"/>
      <c r="V35" s="24"/>
      <c r="W35" s="24"/>
      <c r="X35" s="24"/>
      <c r="Y35" s="24"/>
    </row>
    <row r="36" spans="2:25" x14ac:dyDescent="0.35">
      <c r="B36" s="127"/>
      <c r="C36" s="127"/>
      <c r="D36" s="127"/>
      <c r="E36" s="127"/>
      <c r="F36" s="127"/>
      <c r="G36" s="127"/>
      <c r="H36" s="127"/>
      <c r="I36" s="56"/>
      <c r="J36" s="56"/>
      <c r="K36" s="56"/>
      <c r="L36" s="56"/>
      <c r="M36" s="56"/>
      <c r="N36" s="56"/>
      <c r="O36" s="24"/>
      <c r="P36" s="24"/>
      <c r="Q36" s="24"/>
      <c r="R36" s="24"/>
      <c r="S36" s="24"/>
      <c r="T36" s="24"/>
      <c r="U36" s="24"/>
      <c r="V36" s="24"/>
      <c r="W36" s="24"/>
      <c r="X36" s="24"/>
      <c r="Y36" s="24"/>
    </row>
    <row r="37" spans="2:25" x14ac:dyDescent="0.35">
      <c r="B37" s="127"/>
      <c r="C37" s="127"/>
      <c r="D37" s="127"/>
      <c r="E37" s="127"/>
      <c r="F37" s="127"/>
      <c r="G37" s="127"/>
      <c r="H37" s="127"/>
      <c r="I37" s="56"/>
      <c r="J37" s="56"/>
      <c r="K37" s="56"/>
      <c r="L37" s="56"/>
      <c r="M37" s="56"/>
      <c r="N37" s="56"/>
      <c r="O37" s="24"/>
      <c r="P37" s="24"/>
      <c r="Q37" s="24"/>
      <c r="R37" s="24"/>
      <c r="S37" s="24"/>
      <c r="T37" s="24"/>
      <c r="U37" s="24"/>
      <c r="V37" s="24"/>
      <c r="W37" s="24"/>
      <c r="X37" s="24"/>
      <c r="Y37" s="24"/>
    </row>
    <row r="38" spans="2:25" x14ac:dyDescent="0.35">
      <c r="B38" s="127"/>
      <c r="C38" s="127"/>
      <c r="D38" s="127"/>
      <c r="E38" s="127"/>
      <c r="F38" s="127"/>
      <c r="G38" s="127"/>
      <c r="H38" s="127"/>
      <c r="I38" s="56"/>
      <c r="J38" s="56"/>
      <c r="K38" s="56"/>
      <c r="L38" s="56"/>
      <c r="M38" s="56"/>
      <c r="N38" s="56"/>
      <c r="O38" s="24"/>
      <c r="P38" s="24"/>
      <c r="Q38" s="24"/>
      <c r="R38" s="24"/>
      <c r="S38" s="24"/>
      <c r="T38" s="24"/>
      <c r="U38" s="24"/>
      <c r="V38" s="24"/>
      <c r="W38" s="24"/>
      <c r="X38" s="24"/>
      <c r="Y38" s="24"/>
    </row>
    <row r="39" spans="2:25" x14ac:dyDescent="0.35">
      <c r="B39" s="127"/>
      <c r="C39" s="127"/>
      <c r="D39" s="127"/>
      <c r="E39" s="127"/>
      <c r="F39" s="127"/>
      <c r="G39" s="127"/>
      <c r="H39" s="127"/>
      <c r="I39" s="56"/>
      <c r="J39" s="56"/>
      <c r="K39" s="56"/>
      <c r="L39" s="56"/>
      <c r="M39" s="56"/>
      <c r="N39" s="56"/>
      <c r="O39" s="24"/>
      <c r="P39" s="24"/>
      <c r="Q39" s="24"/>
      <c r="R39" s="24"/>
      <c r="S39" s="24"/>
      <c r="T39" s="24"/>
      <c r="U39" s="24"/>
      <c r="V39" s="24"/>
      <c r="W39" s="24"/>
      <c r="X39" s="24"/>
      <c r="Y39" s="24"/>
    </row>
    <row r="40" spans="2:25" x14ac:dyDescent="0.35">
      <c r="B40" s="127"/>
      <c r="C40" s="127"/>
      <c r="D40" s="127"/>
      <c r="E40" s="127"/>
      <c r="F40" s="127"/>
      <c r="G40" s="127"/>
      <c r="H40" s="127"/>
      <c r="I40" s="56"/>
      <c r="J40" s="56"/>
      <c r="K40" s="56"/>
      <c r="L40" s="56"/>
      <c r="M40" s="56"/>
      <c r="N40" s="56"/>
      <c r="O40" s="24"/>
      <c r="P40" s="24"/>
      <c r="Q40" s="24"/>
      <c r="R40" s="24"/>
      <c r="S40" s="24"/>
      <c r="T40" s="24"/>
      <c r="U40" s="24"/>
      <c r="V40" s="24"/>
      <c r="W40" s="24"/>
      <c r="X40" s="24"/>
      <c r="Y40" s="24"/>
    </row>
    <row r="41" spans="2:25" x14ac:dyDescent="0.35">
      <c r="B41" s="127"/>
      <c r="C41" s="127"/>
      <c r="D41" s="127"/>
      <c r="E41" s="127"/>
      <c r="F41" s="127"/>
      <c r="G41" s="127"/>
      <c r="H41" s="127"/>
      <c r="I41" s="56"/>
      <c r="J41" s="56"/>
      <c r="K41" s="56"/>
      <c r="L41" s="56"/>
      <c r="M41" s="56"/>
      <c r="N41" s="56"/>
      <c r="O41" s="24"/>
      <c r="P41" s="24"/>
      <c r="Q41" s="24"/>
      <c r="R41" s="24"/>
      <c r="S41" s="24"/>
      <c r="T41" s="24"/>
      <c r="U41" s="24"/>
      <c r="V41" s="24"/>
      <c r="W41" s="24"/>
      <c r="X41" s="24"/>
      <c r="Y41" s="24"/>
    </row>
    <row r="42" spans="2:25" x14ac:dyDescent="0.35">
      <c r="B42" s="127"/>
      <c r="C42" s="127"/>
      <c r="D42" s="127"/>
      <c r="E42" s="127"/>
      <c r="F42" s="127"/>
      <c r="G42" s="127"/>
      <c r="H42" s="127"/>
      <c r="I42" s="56"/>
      <c r="J42" s="56"/>
      <c r="K42" s="56"/>
      <c r="L42" s="56"/>
      <c r="M42" s="56"/>
      <c r="N42" s="56"/>
      <c r="O42" s="24"/>
      <c r="P42" s="24"/>
      <c r="Q42" s="24"/>
      <c r="R42" s="24"/>
      <c r="S42" s="24"/>
      <c r="T42" s="24"/>
      <c r="U42" s="24"/>
      <c r="V42" s="24"/>
      <c r="W42" s="24"/>
      <c r="X42" s="24"/>
      <c r="Y42" s="24"/>
    </row>
    <row r="43" spans="2:25" x14ac:dyDescent="0.35">
      <c r="B43" s="84"/>
      <c r="C43" s="24"/>
      <c r="D43" s="24"/>
      <c r="E43" s="24"/>
      <c r="F43" s="24"/>
      <c r="G43" s="24"/>
      <c r="H43" s="24"/>
      <c r="I43" s="56"/>
      <c r="J43" s="56"/>
      <c r="K43" s="56"/>
      <c r="L43" s="56"/>
      <c r="M43" s="56"/>
      <c r="N43" s="56"/>
      <c r="O43" s="24"/>
      <c r="P43" s="24"/>
      <c r="Q43" s="24"/>
      <c r="R43" s="24"/>
      <c r="S43" s="24"/>
      <c r="T43" s="24"/>
      <c r="U43" s="24"/>
      <c r="V43" s="24"/>
      <c r="W43" s="24"/>
      <c r="X43" s="24"/>
      <c r="Y43" s="24"/>
    </row>
    <row r="44" spans="2:25" x14ac:dyDescent="0.35">
      <c r="B44" s="84"/>
      <c r="C44" s="24"/>
      <c r="D44" s="24"/>
      <c r="E44" s="24"/>
      <c r="F44" s="24"/>
      <c r="G44" s="24"/>
      <c r="H44" s="24"/>
      <c r="I44" s="56"/>
      <c r="J44" s="56"/>
      <c r="K44" s="56"/>
      <c r="L44" s="56"/>
      <c r="M44" s="56"/>
      <c r="N44" s="56"/>
      <c r="O44" s="24"/>
      <c r="P44" s="24"/>
      <c r="Q44" s="24"/>
      <c r="R44" s="24"/>
      <c r="S44" s="24"/>
      <c r="T44" s="24"/>
      <c r="U44" s="24"/>
      <c r="V44" s="24"/>
    </row>
    <row r="45" spans="2:25" x14ac:dyDescent="0.35">
      <c r="B45" s="84"/>
      <c r="C45" s="24"/>
      <c r="D45" s="24"/>
      <c r="E45" s="24"/>
      <c r="F45" s="24"/>
      <c r="G45" s="24"/>
      <c r="H45" s="24"/>
      <c r="I45" s="56"/>
      <c r="J45" s="56"/>
      <c r="K45" s="56"/>
      <c r="L45" s="56"/>
      <c r="M45" s="56"/>
      <c r="N45" s="56"/>
      <c r="O45" s="24"/>
      <c r="P45" s="24"/>
      <c r="Q45" s="24"/>
      <c r="R45" s="24"/>
      <c r="S45" s="24"/>
      <c r="T45" s="24"/>
      <c r="U45" s="24"/>
      <c r="V45" s="24"/>
    </row>
    <row r="46" spans="2:25" x14ac:dyDescent="0.35">
      <c r="B46" s="84"/>
      <c r="C46" s="24"/>
      <c r="D46" s="24"/>
      <c r="E46" s="24"/>
      <c r="F46" s="24"/>
      <c r="G46" s="24"/>
      <c r="H46" s="24"/>
      <c r="I46" s="56"/>
      <c r="J46" s="56"/>
      <c r="K46" s="56"/>
      <c r="L46" s="56"/>
      <c r="M46" s="56"/>
      <c r="N46" s="56"/>
      <c r="O46" s="24"/>
      <c r="P46" s="24"/>
      <c r="Q46" s="24"/>
      <c r="R46" s="24"/>
      <c r="S46" s="24"/>
      <c r="T46" s="24"/>
      <c r="U46" s="24"/>
      <c r="V46" s="24"/>
    </row>
    <row r="47" spans="2:25" x14ac:dyDescent="0.35">
      <c r="B47" s="84"/>
      <c r="C47" s="24"/>
      <c r="D47" s="24"/>
      <c r="E47" s="24"/>
      <c r="F47" s="24"/>
      <c r="G47" s="24"/>
      <c r="H47" s="24"/>
      <c r="I47" s="56"/>
      <c r="J47" s="56"/>
      <c r="K47" s="56"/>
      <c r="L47" s="56"/>
      <c r="M47" s="56"/>
      <c r="N47" s="56"/>
      <c r="O47" s="24"/>
      <c r="P47" s="24"/>
      <c r="Q47" s="24"/>
      <c r="R47" s="24"/>
      <c r="S47" s="24"/>
      <c r="T47" s="24"/>
      <c r="U47" s="24"/>
      <c r="V47" s="24"/>
    </row>
    <row r="48" spans="2:25" x14ac:dyDescent="0.35">
      <c r="B48" s="84"/>
      <c r="C48" s="24"/>
      <c r="D48" s="24"/>
      <c r="E48" s="24"/>
      <c r="F48" s="24"/>
      <c r="G48" s="24"/>
      <c r="H48" s="24"/>
      <c r="I48" s="56"/>
      <c r="J48" s="56"/>
      <c r="K48" s="56"/>
      <c r="L48" s="56"/>
      <c r="M48" s="56"/>
      <c r="N48" s="27"/>
      <c r="O48" s="24"/>
      <c r="P48" s="24"/>
      <c r="Q48" s="24"/>
      <c r="R48" s="24"/>
      <c r="S48" s="24"/>
      <c r="T48" s="24"/>
      <c r="U48" s="24"/>
      <c r="V48" s="24"/>
    </row>
    <row r="49" spans="2:22" x14ac:dyDescent="0.35">
      <c r="B49" s="84"/>
      <c r="C49" s="24"/>
      <c r="D49" s="24"/>
      <c r="E49" s="24"/>
      <c r="F49" s="24"/>
      <c r="G49" s="24"/>
      <c r="H49" s="24"/>
      <c r="I49" s="24"/>
      <c r="J49" s="24"/>
      <c r="K49" s="24"/>
      <c r="L49" s="24"/>
      <c r="M49" s="24"/>
      <c r="N49" s="24"/>
      <c r="O49" s="24"/>
      <c r="P49" s="24"/>
      <c r="Q49" s="24"/>
      <c r="R49" s="24"/>
      <c r="S49" s="24"/>
      <c r="T49" s="24"/>
      <c r="U49" s="24"/>
      <c r="V49" s="24"/>
    </row>
    <row r="50" spans="2:22" x14ac:dyDescent="0.35">
      <c r="B50" s="84"/>
      <c r="C50" s="24"/>
      <c r="D50" s="24"/>
      <c r="E50" s="24"/>
      <c r="F50" s="24"/>
      <c r="G50" s="24"/>
      <c r="H50" s="24"/>
      <c r="I50" s="24"/>
      <c r="J50" s="24"/>
      <c r="K50" s="24"/>
      <c r="L50" s="24"/>
      <c r="M50" s="24"/>
      <c r="N50" s="24"/>
      <c r="O50" s="24"/>
      <c r="P50" s="24"/>
      <c r="Q50" s="24"/>
      <c r="R50" s="24"/>
      <c r="S50" s="24"/>
      <c r="T50" s="24"/>
      <c r="U50" s="24"/>
      <c r="V50" s="24"/>
    </row>
    <row r="51" spans="2:22" x14ac:dyDescent="0.35">
      <c r="B51" s="84"/>
      <c r="C51" s="24"/>
      <c r="D51" s="24"/>
      <c r="E51" s="24"/>
      <c r="F51" s="24"/>
      <c r="G51" s="24"/>
      <c r="H51" s="24"/>
      <c r="I51" s="24"/>
      <c r="J51" s="24"/>
      <c r="K51" s="24"/>
      <c r="L51" s="24"/>
      <c r="M51" s="24"/>
      <c r="N51" s="24"/>
      <c r="O51" s="24"/>
      <c r="P51" s="24"/>
      <c r="Q51" s="24"/>
      <c r="R51" s="24"/>
      <c r="S51" s="24"/>
      <c r="T51" s="24"/>
      <c r="U51" s="24"/>
      <c r="V51" s="24"/>
    </row>
    <row r="52" spans="2:22" x14ac:dyDescent="0.35">
      <c r="B52" s="84"/>
      <c r="C52" s="24"/>
      <c r="D52" s="24"/>
      <c r="E52" s="24"/>
      <c r="F52" s="24"/>
      <c r="G52" s="24"/>
      <c r="H52" s="24"/>
      <c r="I52" s="24"/>
      <c r="J52" s="24"/>
      <c r="K52" s="24"/>
      <c r="L52" s="24"/>
      <c r="M52" s="24"/>
      <c r="N52" s="24"/>
      <c r="O52" s="24"/>
      <c r="P52" s="24"/>
      <c r="Q52" s="24"/>
      <c r="R52" s="24"/>
      <c r="S52" s="24"/>
      <c r="T52" s="24"/>
      <c r="U52" s="24"/>
      <c r="V52" s="24"/>
    </row>
    <row r="53" spans="2:22" x14ac:dyDescent="0.35">
      <c r="B53" s="84"/>
      <c r="C53" s="24"/>
      <c r="D53" s="24"/>
      <c r="E53" s="24"/>
      <c r="F53" s="24"/>
      <c r="G53" s="24"/>
      <c r="H53" s="24"/>
      <c r="I53" s="24"/>
      <c r="J53" s="24"/>
      <c r="K53" s="24"/>
      <c r="L53" s="24"/>
      <c r="M53" s="24"/>
      <c r="N53" s="24"/>
      <c r="O53" s="24"/>
      <c r="P53" s="24"/>
      <c r="Q53" s="24"/>
      <c r="R53" s="24"/>
      <c r="S53" s="24"/>
      <c r="T53" s="24"/>
      <c r="U53" s="24"/>
      <c r="V53" s="24"/>
    </row>
    <row r="54" spans="2:22" x14ac:dyDescent="0.35">
      <c r="B54" s="84"/>
      <c r="C54" s="24"/>
      <c r="D54" s="24"/>
      <c r="E54" s="24"/>
      <c r="F54" s="24"/>
      <c r="G54" s="24"/>
      <c r="H54" s="24"/>
      <c r="I54" s="24"/>
      <c r="J54" s="24"/>
      <c r="K54" s="24"/>
      <c r="L54" s="24"/>
      <c r="M54" s="24"/>
      <c r="N54" s="24"/>
      <c r="O54" s="24"/>
      <c r="P54" s="24"/>
      <c r="Q54" s="24"/>
      <c r="R54" s="24"/>
      <c r="S54" s="24"/>
      <c r="T54" s="24"/>
      <c r="U54" s="24"/>
      <c r="V54" s="24"/>
    </row>
    <row r="55" spans="2:22" x14ac:dyDescent="0.35">
      <c r="B55" s="84"/>
      <c r="C55" s="24"/>
      <c r="D55" s="24"/>
      <c r="E55" s="24"/>
      <c r="F55" s="24"/>
      <c r="G55" s="24"/>
      <c r="H55" s="24"/>
      <c r="I55" s="24"/>
      <c r="J55" s="24"/>
      <c r="K55" s="24"/>
      <c r="L55" s="24"/>
      <c r="M55" s="24"/>
      <c r="N55" s="24"/>
      <c r="O55" s="24"/>
      <c r="P55" s="24"/>
      <c r="Q55" s="24"/>
      <c r="R55" s="24"/>
      <c r="S55" s="24"/>
      <c r="T55" s="24"/>
      <c r="U55" s="24"/>
      <c r="V55" s="24"/>
    </row>
    <row r="56" spans="2:22" x14ac:dyDescent="0.35">
      <c r="B56" s="84"/>
      <c r="C56" s="24"/>
      <c r="D56" s="24"/>
      <c r="E56" s="24"/>
      <c r="F56" s="24"/>
      <c r="G56" s="24"/>
      <c r="H56" s="24"/>
      <c r="I56" s="24"/>
      <c r="J56" s="24"/>
      <c r="K56" s="24"/>
      <c r="L56" s="24"/>
      <c r="M56" s="24"/>
      <c r="N56" s="24"/>
      <c r="O56" s="24"/>
      <c r="P56" s="24"/>
      <c r="Q56" s="24"/>
      <c r="R56" s="24"/>
      <c r="S56" s="24"/>
      <c r="T56" s="24"/>
      <c r="U56" s="24"/>
      <c r="V56" s="24"/>
    </row>
    <row r="57" spans="2:22" x14ac:dyDescent="0.35">
      <c r="B57" s="84"/>
      <c r="C57" s="24"/>
      <c r="D57" s="24"/>
      <c r="E57" s="24"/>
      <c r="F57" s="24"/>
      <c r="G57" s="24"/>
      <c r="H57" s="24"/>
      <c r="I57" s="24"/>
      <c r="J57" s="24"/>
      <c r="K57" s="24"/>
      <c r="L57" s="24"/>
      <c r="M57" s="24"/>
      <c r="N57" s="24"/>
      <c r="O57" s="24"/>
      <c r="P57" s="24"/>
      <c r="Q57" s="24"/>
      <c r="R57" s="24"/>
      <c r="S57" s="24"/>
      <c r="T57" s="24"/>
      <c r="U57" s="24"/>
      <c r="V57" s="24"/>
    </row>
    <row r="58" spans="2:22" x14ac:dyDescent="0.35">
      <c r="B58" s="84"/>
      <c r="C58" s="24"/>
      <c r="D58" s="24"/>
      <c r="E58" s="24"/>
      <c r="F58" s="24"/>
      <c r="G58" s="24"/>
      <c r="H58" s="24"/>
      <c r="I58" s="24"/>
      <c r="J58" s="24"/>
      <c r="K58" s="24"/>
      <c r="L58" s="24"/>
      <c r="M58" s="24"/>
      <c r="N58" s="24"/>
      <c r="O58" s="24"/>
      <c r="P58" s="24"/>
      <c r="Q58" s="24"/>
      <c r="R58" s="24"/>
      <c r="S58" s="24"/>
      <c r="T58" s="24"/>
      <c r="U58" s="24"/>
      <c r="V58" s="24"/>
    </row>
    <row r="59" spans="2:22" x14ac:dyDescent="0.35">
      <c r="B59" s="84"/>
      <c r="C59" s="24"/>
      <c r="D59" s="24"/>
      <c r="E59" s="24"/>
      <c r="F59" s="24"/>
      <c r="G59" s="24"/>
      <c r="H59" s="24"/>
      <c r="I59" s="24"/>
      <c r="J59" s="24"/>
      <c r="K59" s="24"/>
      <c r="L59" s="24"/>
      <c r="M59" s="24"/>
      <c r="N59" s="24"/>
      <c r="O59" s="24"/>
      <c r="P59" s="24"/>
      <c r="Q59" s="24"/>
      <c r="R59" s="24"/>
      <c r="S59" s="24"/>
      <c r="T59" s="24"/>
      <c r="U59" s="24"/>
      <c r="V59" s="24"/>
    </row>
    <row r="60" spans="2:22" x14ac:dyDescent="0.35">
      <c r="B60" s="84"/>
      <c r="C60" s="24"/>
      <c r="D60" s="24"/>
      <c r="E60" s="24"/>
      <c r="F60" s="24"/>
      <c r="G60" s="24"/>
      <c r="H60" s="24"/>
      <c r="I60" s="24"/>
      <c r="J60" s="24"/>
      <c r="K60" s="24"/>
      <c r="L60" s="24"/>
      <c r="M60" s="24"/>
      <c r="N60" s="24"/>
      <c r="O60" s="24"/>
      <c r="P60" s="24"/>
      <c r="Q60" s="24"/>
      <c r="R60" s="24"/>
      <c r="S60" s="24"/>
      <c r="T60" s="24"/>
      <c r="U60" s="24"/>
      <c r="V60" s="24"/>
    </row>
    <row r="61" spans="2:22" x14ac:dyDescent="0.35">
      <c r="B61" s="84"/>
      <c r="C61" s="24"/>
      <c r="D61" s="24"/>
      <c r="E61" s="24"/>
      <c r="F61" s="24"/>
      <c r="G61" s="24"/>
      <c r="H61" s="24"/>
      <c r="I61" s="24"/>
      <c r="J61" s="24"/>
      <c r="K61" s="24"/>
      <c r="L61" s="24"/>
      <c r="M61" s="24"/>
      <c r="N61" s="24"/>
      <c r="O61" s="24"/>
      <c r="P61" s="24"/>
      <c r="Q61" s="24"/>
      <c r="R61" s="24"/>
      <c r="S61" s="24"/>
      <c r="T61" s="24"/>
      <c r="U61" s="24"/>
      <c r="V61" s="24"/>
    </row>
    <row r="62" spans="2:22" x14ac:dyDescent="0.35">
      <c r="B62" s="84"/>
      <c r="C62" s="24"/>
      <c r="D62" s="24"/>
      <c r="E62" s="24"/>
      <c r="F62" s="24"/>
      <c r="G62" s="24"/>
      <c r="H62" s="24"/>
      <c r="I62" s="24"/>
      <c r="J62" s="24"/>
      <c r="K62" s="24"/>
      <c r="L62" s="24"/>
      <c r="M62" s="24"/>
      <c r="N62" s="24"/>
      <c r="O62" s="24"/>
      <c r="P62" s="24"/>
      <c r="Q62" s="24"/>
      <c r="R62" s="24"/>
      <c r="S62" s="24"/>
      <c r="T62" s="24"/>
      <c r="U62" s="24"/>
      <c r="V62" s="24"/>
    </row>
    <row r="63" spans="2:22" x14ac:dyDescent="0.35">
      <c r="B63" s="84"/>
      <c r="C63" s="24"/>
      <c r="D63" s="24"/>
      <c r="E63" s="24"/>
      <c r="F63" s="24"/>
      <c r="G63" s="24"/>
      <c r="H63" s="24"/>
      <c r="I63" s="24"/>
      <c r="J63" s="24"/>
      <c r="K63" s="24"/>
      <c r="L63" s="24"/>
      <c r="M63" s="24"/>
      <c r="N63" s="24"/>
      <c r="O63" s="24"/>
      <c r="P63" s="24"/>
      <c r="Q63" s="24"/>
      <c r="R63" s="24"/>
      <c r="S63" s="24"/>
      <c r="T63" s="24"/>
      <c r="U63" s="24"/>
      <c r="V63" s="24"/>
    </row>
    <row r="64" spans="2:22" x14ac:dyDescent="0.35">
      <c r="B64" s="84"/>
      <c r="C64" s="24"/>
      <c r="D64" s="24"/>
      <c r="E64" s="24"/>
      <c r="F64" s="24"/>
      <c r="G64" s="24"/>
      <c r="H64" s="24"/>
      <c r="I64" s="24"/>
      <c r="J64" s="24"/>
      <c r="K64" s="24"/>
      <c r="L64" s="24"/>
      <c r="M64" s="24"/>
      <c r="N64" s="24"/>
      <c r="O64" s="24"/>
      <c r="P64" s="24"/>
      <c r="Q64" s="24"/>
      <c r="R64" s="24"/>
      <c r="S64" s="24"/>
      <c r="T64" s="24"/>
      <c r="U64" s="24"/>
      <c r="V64" s="24"/>
    </row>
    <row r="65" spans="2:22" x14ac:dyDescent="0.35">
      <c r="B65" s="84"/>
      <c r="C65" s="24"/>
      <c r="D65" s="24"/>
      <c r="E65" s="24"/>
      <c r="F65" s="24"/>
      <c r="G65" s="24"/>
      <c r="H65" s="24"/>
      <c r="I65" s="24"/>
      <c r="J65" s="24"/>
      <c r="K65" s="24"/>
      <c r="L65" s="24"/>
      <c r="M65" s="24"/>
      <c r="N65" s="24"/>
      <c r="O65" s="24"/>
      <c r="P65" s="24"/>
      <c r="Q65" s="24"/>
      <c r="R65" s="24"/>
      <c r="S65" s="24"/>
      <c r="T65" s="24"/>
      <c r="U65" s="24"/>
      <c r="V65" s="24"/>
    </row>
    <row r="66" spans="2:22" x14ac:dyDescent="0.35">
      <c r="B66" s="84"/>
      <c r="C66" s="24"/>
      <c r="D66" s="24"/>
      <c r="E66" s="24"/>
      <c r="F66" s="24"/>
      <c r="G66" s="24"/>
      <c r="H66" s="24"/>
      <c r="I66" s="24"/>
      <c r="J66" s="24"/>
      <c r="K66" s="24"/>
      <c r="L66" s="24"/>
      <c r="M66" s="24"/>
      <c r="N66" s="24"/>
      <c r="O66" s="24"/>
      <c r="P66" s="24"/>
      <c r="Q66" s="24"/>
      <c r="R66" s="24"/>
      <c r="S66" s="24"/>
      <c r="T66" s="24"/>
      <c r="U66" s="24"/>
      <c r="V66" s="24"/>
    </row>
    <row r="67" spans="2:22" x14ac:dyDescent="0.35">
      <c r="B67" s="84"/>
      <c r="C67" s="24"/>
      <c r="D67" s="24"/>
      <c r="E67" s="24"/>
      <c r="F67" s="24"/>
      <c r="G67" s="24"/>
      <c r="H67" s="24"/>
      <c r="I67" s="24"/>
      <c r="J67" s="24"/>
      <c r="K67" s="24"/>
      <c r="L67" s="24"/>
      <c r="M67" s="24"/>
      <c r="N67" s="24"/>
      <c r="O67" s="24"/>
      <c r="P67" s="24"/>
      <c r="Q67" s="24"/>
      <c r="R67" s="24"/>
      <c r="S67" s="24"/>
      <c r="T67" s="24"/>
      <c r="U67" s="24"/>
      <c r="V67" s="24"/>
    </row>
    <row r="68" spans="2:22" x14ac:dyDescent="0.35">
      <c r="B68" s="84"/>
      <c r="C68" s="24"/>
      <c r="D68" s="24"/>
      <c r="E68" s="24"/>
      <c r="F68" s="24"/>
      <c r="G68" s="24"/>
      <c r="H68" s="24"/>
      <c r="I68" s="24"/>
      <c r="J68" s="24"/>
      <c r="K68" s="24"/>
      <c r="L68" s="24"/>
      <c r="M68" s="24"/>
      <c r="N68" s="24"/>
      <c r="O68" s="24"/>
      <c r="P68" s="24"/>
      <c r="Q68" s="24"/>
      <c r="R68" s="24"/>
      <c r="S68" s="24"/>
      <c r="T68" s="24"/>
      <c r="U68" s="24"/>
      <c r="V68" s="24"/>
    </row>
    <row r="69" spans="2:22" x14ac:dyDescent="0.35">
      <c r="B69" s="84"/>
      <c r="C69" s="24"/>
      <c r="D69" s="24"/>
      <c r="E69" s="24"/>
      <c r="F69" s="24"/>
      <c r="G69" s="24"/>
      <c r="H69" s="24"/>
      <c r="I69" s="24"/>
      <c r="J69" s="24"/>
      <c r="K69" s="24"/>
      <c r="L69" s="24"/>
      <c r="M69" s="24"/>
      <c r="N69" s="24"/>
      <c r="O69" s="24"/>
      <c r="P69" s="24"/>
      <c r="Q69" s="24"/>
      <c r="R69" s="24"/>
      <c r="S69" s="24"/>
      <c r="T69" s="24"/>
      <c r="U69" s="24"/>
      <c r="V69" s="24"/>
    </row>
    <row r="70" spans="2:22" x14ac:dyDescent="0.35">
      <c r="B70" s="84"/>
      <c r="C70" s="24"/>
      <c r="D70" s="24"/>
      <c r="E70" s="24"/>
      <c r="F70" s="24"/>
      <c r="G70" s="24"/>
      <c r="H70" s="24"/>
      <c r="I70" s="24"/>
      <c r="J70" s="24"/>
      <c r="K70" s="24"/>
      <c r="L70" s="24"/>
      <c r="M70" s="24"/>
      <c r="N70" s="24"/>
      <c r="O70" s="24"/>
      <c r="P70" s="24"/>
      <c r="Q70" s="24"/>
      <c r="R70" s="24"/>
      <c r="S70" s="24"/>
      <c r="T70" s="24"/>
      <c r="U70" s="24"/>
      <c r="V70" s="24"/>
    </row>
    <row r="71" spans="2:22" x14ac:dyDescent="0.35">
      <c r="B71" s="84"/>
      <c r="C71" s="24"/>
      <c r="D71" s="24"/>
      <c r="E71" s="24"/>
      <c r="F71" s="24"/>
      <c r="G71" s="24"/>
      <c r="H71" s="24"/>
      <c r="I71" s="24"/>
      <c r="J71" s="24"/>
      <c r="K71" s="24"/>
      <c r="L71" s="24"/>
      <c r="M71" s="24"/>
      <c r="N71" s="24"/>
      <c r="O71" s="24"/>
      <c r="P71" s="24"/>
      <c r="Q71" s="24"/>
      <c r="R71" s="24"/>
      <c r="S71" s="24"/>
      <c r="T71" s="24"/>
      <c r="U71" s="24"/>
      <c r="V71" s="24"/>
    </row>
    <row r="72" spans="2:22" x14ac:dyDescent="0.35">
      <c r="B72" s="84"/>
      <c r="C72" s="24"/>
      <c r="D72" s="24"/>
      <c r="E72" s="24"/>
      <c r="F72" s="24"/>
      <c r="G72" s="24"/>
      <c r="H72" s="24"/>
      <c r="I72" s="24"/>
      <c r="J72" s="24"/>
      <c r="K72" s="24"/>
      <c r="L72" s="24"/>
      <c r="M72" s="24"/>
      <c r="N72" s="24"/>
      <c r="O72" s="24"/>
      <c r="P72" s="24"/>
      <c r="Q72" s="24"/>
      <c r="R72" s="24"/>
      <c r="S72" s="24"/>
      <c r="T72" s="24"/>
      <c r="U72" s="24"/>
      <c r="V72" s="24"/>
    </row>
    <row r="73" spans="2:22" x14ac:dyDescent="0.35">
      <c r="B73" s="84"/>
      <c r="C73" s="24"/>
      <c r="D73" s="24"/>
      <c r="E73" s="24"/>
      <c r="F73" s="24"/>
      <c r="G73" s="24"/>
      <c r="H73" s="24"/>
      <c r="I73" s="24"/>
      <c r="J73" s="24"/>
      <c r="K73" s="24"/>
      <c r="L73" s="24"/>
      <c r="M73" s="24"/>
      <c r="N73" s="24"/>
      <c r="O73" s="24"/>
      <c r="P73" s="24"/>
      <c r="Q73" s="24"/>
      <c r="R73" s="24"/>
      <c r="S73" s="24"/>
      <c r="T73" s="24"/>
      <c r="U73" s="24"/>
      <c r="V73" s="24"/>
    </row>
    <row r="74" spans="2:22" x14ac:dyDescent="0.35">
      <c r="B74" s="84"/>
      <c r="C74" s="24"/>
      <c r="D74" s="24"/>
      <c r="E74" s="24"/>
      <c r="F74" s="24"/>
      <c r="G74" s="24"/>
      <c r="H74" s="24"/>
      <c r="I74" s="24"/>
      <c r="J74" s="24"/>
      <c r="K74" s="24"/>
      <c r="L74" s="24"/>
      <c r="M74" s="24"/>
      <c r="N74" s="24"/>
      <c r="O74" s="24"/>
      <c r="P74" s="24"/>
      <c r="Q74" s="24"/>
      <c r="R74" s="24"/>
      <c r="S74" s="24"/>
      <c r="T74" s="24"/>
      <c r="U74" s="24"/>
      <c r="V74" s="24"/>
    </row>
    <row r="75" spans="2:22" x14ac:dyDescent="0.35">
      <c r="B75" s="84"/>
      <c r="C75" s="24"/>
      <c r="D75" s="24"/>
      <c r="E75" s="24"/>
      <c r="F75" s="24"/>
      <c r="G75" s="24"/>
      <c r="H75" s="24"/>
      <c r="I75" s="24"/>
      <c r="J75" s="24"/>
      <c r="K75" s="24"/>
      <c r="L75" s="24"/>
      <c r="M75" s="24"/>
      <c r="N75" s="24"/>
      <c r="O75" s="24"/>
      <c r="P75" s="24"/>
      <c r="Q75" s="24"/>
      <c r="R75" s="24"/>
      <c r="S75" s="24"/>
      <c r="T75" s="24"/>
      <c r="U75" s="24"/>
      <c r="V75" s="24"/>
    </row>
    <row r="76" spans="2:22" x14ac:dyDescent="0.35">
      <c r="B76" s="84"/>
      <c r="C76" s="24"/>
      <c r="D76" s="24"/>
      <c r="E76" s="24"/>
      <c r="F76" s="24"/>
      <c r="G76" s="24"/>
      <c r="H76" s="24"/>
      <c r="I76" s="24"/>
      <c r="J76" s="24"/>
      <c r="K76" s="24"/>
      <c r="L76" s="24"/>
      <c r="M76" s="24"/>
      <c r="N76" s="24"/>
      <c r="O76" s="24"/>
      <c r="P76" s="24"/>
      <c r="Q76" s="24"/>
      <c r="R76" s="24"/>
      <c r="S76" s="24"/>
      <c r="T76" s="24"/>
      <c r="U76" s="24"/>
      <c r="V76" s="24"/>
    </row>
    <row r="77" spans="2:22" x14ac:dyDescent="0.35">
      <c r="B77" s="84"/>
      <c r="C77" s="24"/>
      <c r="D77" s="24"/>
      <c r="E77" s="24"/>
      <c r="F77" s="24"/>
      <c r="G77" s="24"/>
      <c r="H77" s="24"/>
      <c r="I77" s="24"/>
      <c r="J77" s="24"/>
      <c r="K77" s="24"/>
      <c r="L77" s="24"/>
      <c r="M77" s="24"/>
      <c r="N77" s="24"/>
      <c r="O77" s="24"/>
      <c r="P77" s="24"/>
      <c r="Q77" s="24"/>
      <c r="R77" s="24"/>
      <c r="S77" s="24"/>
      <c r="T77" s="24"/>
      <c r="U77" s="24"/>
      <c r="V77" s="24"/>
    </row>
    <row r="78" spans="2:22" x14ac:dyDescent="0.35">
      <c r="B78" s="84"/>
      <c r="C78" s="24"/>
      <c r="D78" s="24"/>
      <c r="E78" s="24"/>
      <c r="F78" s="24"/>
      <c r="G78" s="24"/>
      <c r="H78" s="24"/>
      <c r="I78" s="24"/>
      <c r="J78" s="24"/>
      <c r="K78" s="24"/>
      <c r="L78" s="24"/>
      <c r="M78" s="24"/>
      <c r="N78" s="24"/>
      <c r="O78" s="24"/>
      <c r="P78" s="24"/>
      <c r="Q78" s="24"/>
      <c r="R78" s="24"/>
      <c r="S78" s="24"/>
      <c r="T78" s="24"/>
      <c r="U78" s="24"/>
      <c r="V78" s="24"/>
    </row>
    <row r="79" spans="2:22" x14ac:dyDescent="0.35">
      <c r="B79" s="84"/>
      <c r="C79" s="24"/>
      <c r="D79" s="24"/>
      <c r="E79" s="24"/>
      <c r="F79" s="24"/>
      <c r="G79" s="24"/>
      <c r="H79" s="24"/>
      <c r="I79" s="24"/>
      <c r="J79" s="24"/>
      <c r="K79" s="24"/>
      <c r="L79" s="24"/>
      <c r="M79" s="24"/>
      <c r="N79" s="24"/>
      <c r="O79" s="24"/>
      <c r="P79" s="24"/>
      <c r="Q79" s="24"/>
      <c r="R79" s="24"/>
      <c r="S79" s="24"/>
      <c r="T79" s="24"/>
      <c r="U79" s="24"/>
      <c r="V79" s="24"/>
    </row>
    <row r="80" spans="2:22" x14ac:dyDescent="0.35">
      <c r="B80" s="84"/>
      <c r="C80" s="24"/>
      <c r="D80" s="24"/>
      <c r="E80" s="24"/>
      <c r="F80" s="24"/>
      <c r="G80" s="24"/>
      <c r="H80" s="24"/>
      <c r="I80" s="24"/>
      <c r="J80" s="24"/>
      <c r="K80" s="24"/>
      <c r="L80" s="24"/>
      <c r="M80" s="24"/>
      <c r="N80" s="24"/>
      <c r="O80" s="24"/>
      <c r="P80" s="24"/>
      <c r="Q80" s="24"/>
      <c r="R80" s="24"/>
      <c r="S80" s="24"/>
      <c r="T80" s="24"/>
      <c r="U80" s="24"/>
      <c r="V80" s="24"/>
    </row>
    <row r="81" spans="2:22" x14ac:dyDescent="0.35">
      <c r="B81" s="84"/>
      <c r="C81" s="24"/>
      <c r="D81" s="24"/>
      <c r="E81" s="24"/>
      <c r="F81" s="24"/>
      <c r="G81" s="24"/>
      <c r="H81" s="24"/>
      <c r="I81" s="24"/>
      <c r="J81" s="24"/>
      <c r="K81" s="24"/>
      <c r="L81" s="24"/>
      <c r="M81" s="24"/>
      <c r="N81" s="24"/>
      <c r="O81" s="24"/>
      <c r="P81" s="24"/>
      <c r="Q81" s="24"/>
      <c r="R81" s="24"/>
      <c r="S81" s="24"/>
      <c r="T81" s="24"/>
      <c r="U81" s="24"/>
      <c r="V81" s="24"/>
    </row>
    <row r="82" spans="2:22" x14ac:dyDescent="0.35">
      <c r="B82" s="84"/>
      <c r="C82" s="24"/>
      <c r="D82" s="24"/>
      <c r="E82" s="24"/>
      <c r="F82" s="24"/>
      <c r="G82" s="24"/>
      <c r="H82" s="24"/>
      <c r="I82" s="24"/>
      <c r="J82" s="24"/>
      <c r="K82" s="24"/>
      <c r="L82" s="24"/>
      <c r="M82" s="24"/>
      <c r="N82" s="24"/>
      <c r="O82" s="24"/>
      <c r="P82" s="24"/>
      <c r="Q82" s="24"/>
      <c r="R82" s="24"/>
      <c r="S82" s="24"/>
      <c r="T82" s="24"/>
      <c r="U82" s="24"/>
      <c r="V82" s="24"/>
    </row>
    <row r="83" spans="2:22" x14ac:dyDescent="0.35">
      <c r="B83" s="84"/>
      <c r="C83" s="24"/>
      <c r="D83" s="24"/>
      <c r="E83" s="24"/>
      <c r="F83" s="24"/>
      <c r="G83" s="24"/>
      <c r="H83" s="24"/>
      <c r="I83" s="24"/>
      <c r="J83" s="24"/>
      <c r="K83" s="24"/>
      <c r="L83" s="24"/>
      <c r="M83" s="24"/>
      <c r="N83" s="24"/>
      <c r="O83" s="24"/>
      <c r="P83" s="24"/>
      <c r="Q83" s="24"/>
      <c r="R83" s="24"/>
      <c r="S83" s="24"/>
      <c r="T83" s="24"/>
      <c r="U83" s="24"/>
      <c r="V83" s="24"/>
    </row>
    <row r="84" spans="2:22" x14ac:dyDescent="0.35">
      <c r="B84" s="84"/>
      <c r="C84" s="24"/>
      <c r="D84" s="24"/>
      <c r="E84" s="24"/>
      <c r="F84" s="24"/>
      <c r="G84" s="24"/>
      <c r="H84" s="24"/>
      <c r="I84" s="24"/>
      <c r="J84" s="24"/>
      <c r="K84" s="24"/>
      <c r="L84" s="24"/>
      <c r="M84" s="24"/>
      <c r="N84" s="24"/>
      <c r="O84" s="24"/>
      <c r="P84" s="24"/>
      <c r="Q84" s="24"/>
      <c r="R84" s="24"/>
      <c r="S84" s="24"/>
      <c r="T84" s="24"/>
      <c r="U84" s="24"/>
      <c r="V84" s="24"/>
    </row>
    <row r="85" spans="2:22" x14ac:dyDescent="0.35">
      <c r="B85" s="84"/>
      <c r="C85" s="24"/>
      <c r="D85" s="24"/>
      <c r="E85" s="24"/>
      <c r="F85" s="24"/>
      <c r="G85" s="24"/>
      <c r="H85" s="24"/>
      <c r="I85" s="24"/>
      <c r="J85" s="24"/>
      <c r="K85" s="24"/>
      <c r="L85" s="24"/>
      <c r="M85" s="24"/>
      <c r="N85" s="24"/>
      <c r="O85" s="24"/>
      <c r="P85" s="24"/>
      <c r="Q85" s="24"/>
      <c r="R85" s="24"/>
      <c r="S85" s="24"/>
      <c r="T85" s="24"/>
      <c r="U85" s="24"/>
      <c r="V85" s="24"/>
    </row>
    <row r="86" spans="2:22" x14ac:dyDescent="0.35">
      <c r="B86" s="84"/>
      <c r="C86" s="24"/>
      <c r="D86" s="24"/>
      <c r="E86" s="24"/>
      <c r="F86" s="24"/>
      <c r="G86" s="24"/>
      <c r="H86" s="24"/>
      <c r="I86" s="24"/>
      <c r="J86" s="24"/>
      <c r="K86" s="24"/>
      <c r="L86" s="24"/>
      <c r="M86" s="24"/>
      <c r="N86" s="24"/>
      <c r="O86" s="24"/>
      <c r="P86" s="24"/>
      <c r="Q86" s="24"/>
      <c r="R86" s="24"/>
      <c r="S86" s="24"/>
      <c r="T86" s="24"/>
      <c r="U86" s="24"/>
      <c r="V86" s="24"/>
    </row>
  </sheetData>
  <sheetProtection sheet="1" objects="1" scenarios="1"/>
  <mergeCells count="18">
    <mergeCell ref="B16:K16"/>
    <mergeCell ref="B17:K17"/>
    <mergeCell ref="B35:H42"/>
    <mergeCell ref="B18:K18"/>
    <mergeCell ref="B2:K2"/>
    <mergeCell ref="B3:K3"/>
    <mergeCell ref="B4:K4"/>
    <mergeCell ref="B5:K5"/>
    <mergeCell ref="B6:K6"/>
    <mergeCell ref="B7:K7"/>
    <mergeCell ref="B8:K8"/>
    <mergeCell ref="B9:K9"/>
    <mergeCell ref="B10:K10"/>
    <mergeCell ref="B11:K11"/>
    <mergeCell ref="B12:K12"/>
    <mergeCell ref="B13:K13"/>
    <mergeCell ref="B14:K14"/>
    <mergeCell ref="B15:K15"/>
  </mergeCells>
  <conditionalFormatting sqref="D24">
    <cfRule type="iconSet" priority="5">
      <iconSet iconSet="3Arrows">
        <cfvo type="percent" val="0"/>
        <cfvo type="percent" val="33"/>
        <cfvo type="percent" val="67"/>
      </iconSet>
    </cfRule>
  </conditionalFormatting>
  <conditionalFormatting sqref="K24">
    <cfRule type="cellIs" dxfId="1" priority="1" operator="lessThan">
      <formula>0</formula>
    </cfRule>
    <cfRule type="cellIs" dxfId="0" priority="2" operator="greaterThan">
      <formula>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C568D3-F990-47CB-A9CC-8F3ADF3039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6358207-3759-4DE6-8BB4-F6DECE3771C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F2C25B0-2BCD-4842-B7CC-0D490EE39408}">
  <ds:schemaRefs>
    <ds:schemaRef ds:uri="http://schemas.microsoft.com/sharepoint/v3/contenttype/forms"/>
  </ds:schemaRefs>
</ds:datastoreItem>
</file>

<file path=docMetadata/LabelInfo.xml><?xml version="1.0" encoding="utf-8"?>
<clbl:labelList xmlns:clbl="http://schemas.microsoft.com/office/2020/mipLabelMetadata">
  <clbl:label id="{029374dd-2437-4816-8d63-bf9cc1b578e5}" enabled="1" method="Privileged" siteId="{39b03722-b836-496a-85ec-850f0957ca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Format 1</vt:lpstr>
      <vt:lpstr>Demo </vt:lpstr>
      <vt:lpstr>Format 2</vt:lpstr>
      <vt:lpstr>Sheet1</vt:lpstr>
    </vt:vector>
  </TitlesOfParts>
  <Manager/>
  <Company>Deere &amp;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YOGESH PARIK</dc:creator>
  <cp:keywords/>
  <dc:description/>
  <cp:lastModifiedBy>YOGESH PARIK</cp:lastModifiedBy>
  <cp:revision/>
  <dcterms:created xsi:type="dcterms:W3CDTF">2025-10-07T16:11:52Z</dcterms:created>
  <dcterms:modified xsi:type="dcterms:W3CDTF">2026-04-07T15:11:30Z</dcterms:modified>
  <cp:category/>
  <cp:contentStatus/>
</cp:coreProperties>
</file>